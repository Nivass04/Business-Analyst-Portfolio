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F:\BA\Excel practice\"/>
    </mc:Choice>
  </mc:AlternateContent>
  <xr:revisionPtr revIDLastSave="0" documentId="13_ncr:1_{4F6CB400-BDEB-4DB5-99C3-37AD452BB249}" xr6:coauthVersionLast="47" xr6:coauthVersionMax="47" xr10:uidLastSave="{00000000-0000-0000-0000-000000000000}"/>
  <bookViews>
    <workbookView xWindow="-110" yWindow="-110" windowWidth="19420" windowHeight="12220" activeTab="4" xr2:uid="{346724B3-1C49-40AE-AA36-C77CF5D6DD09}"/>
  </bookViews>
  <sheets>
    <sheet name="Sheet1" sheetId="5" r:id="rId1"/>
    <sheet name="Sheet2" sheetId="8" r:id="rId2"/>
    <sheet name="Data" sheetId="1" r:id="rId3"/>
    <sheet name="Questions &amp; KPIs" sheetId="2" r:id="rId4"/>
    <sheet name="Dashboard" sheetId="3" r:id="rId5"/>
  </sheets>
  <definedNames>
    <definedName name="_xlchart.v5.0" hidden="1">Sheet1!$G$74:$H$74</definedName>
    <definedName name="_xlchart.v5.1" hidden="1">Sheet1!$G$75:$H$132</definedName>
    <definedName name="_xlchart.v5.2" hidden="1">Sheet1!$I$74</definedName>
    <definedName name="_xlchart.v5.3" hidden="1">Sheet1!$I$75:$I$132</definedName>
    <definedName name="_xlchart.v5.4" hidden="1">Sheet1!$L$74:$M$74</definedName>
    <definedName name="_xlchart.v5.5" hidden="1">Sheet1!$L$75:$M$132</definedName>
    <definedName name="_xlchart.v5.6" hidden="1">Sheet1!$N$74</definedName>
    <definedName name="_xlchart.v5.7" hidden="1">Sheet1!$N$75:$N$132</definedName>
    <definedName name="Slicer_Gender_Value">#N/A</definedName>
    <definedName name="Slicer_Order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7" i="8" l="1"/>
  <c r="I6" i="8"/>
  <c r="J6" i="8"/>
  <c r="K6" i="8"/>
  <c r="L6" i="8"/>
  <c r="I7" i="8"/>
  <c r="J7" i="8"/>
  <c r="L7" i="8"/>
  <c r="I8" i="8"/>
  <c r="J8" i="8"/>
  <c r="K8" i="8"/>
  <c r="L8" i="8"/>
  <c r="I9" i="8"/>
  <c r="J9" i="8"/>
  <c r="K9" i="8"/>
  <c r="L9" i="8"/>
  <c r="J5" i="8"/>
  <c r="K5" i="8"/>
  <c r="L5" i="8"/>
  <c r="J4" i="8"/>
  <c r="K4" i="8"/>
  <c r="L4" i="8"/>
  <c r="I4" i="8"/>
  <c r="I5" i="8"/>
  <c r="H6" i="8"/>
  <c r="H7" i="8"/>
  <c r="H8" i="8"/>
  <c r="H9" i="8"/>
  <c r="H5" i="8"/>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sharedStrings.xml><?xml version="1.0" encoding="utf-8"?>
<sst xmlns="http://schemas.openxmlformats.org/spreadsheetml/2006/main" count="14862" uniqueCount="2540">
  <si>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</si>
  <si>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</si>
  <si>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</si>
  <si>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</si>
  <si>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</si>
  <si>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</si>
  <si>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</si>
  <si>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</si>
  <si>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</si>
  <si>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</si>
  <si>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</si>
  <si>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</si>
  <si>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</si>
  <si>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</si>
  <si>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</si>
  <si>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</si>
  <si>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</si>
  <si>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</si>
  <si>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</si>
  <si>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</si>
  <si>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</si>
  <si>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</si>
  <si>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</si>
  <si>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</si>
  <si>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</si>
  <si>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</si>
  <si>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</si>
  <si>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</si>
  <si>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</si>
  <si>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</si>
  <si>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</si>
  <si>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</si>
  <si>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</si>
  <si>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</si>
  <si>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</si>
  <si>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</si>
  <si>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</si>
  <si>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</si>
  <si>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</si>
  <si>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</si>
  <si>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</si>
  <si>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</si>
  <si>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</si>
  <si>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</si>
  <si>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</si>
  <si>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</si>
  <si>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</si>
  <si>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</si>
  <si>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</si>
  <si>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</si>
  <si>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</si>
  <si>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</si>
  <si>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</si>
  <si>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</si>
  <si>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</si>
  <si>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</si>
  <si>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</si>
  <si>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</si>
  <si>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</si>
  <si>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</si>
  <si>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</si>
  <si>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</si>
  <si>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</si>
  <si>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</si>
  <si>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</si>
  <si>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</si>
  <si>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</si>
  <si>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</si>
  <si>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</si>
  <si>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</si>
  <si>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</si>
  <si>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</si>
  <si>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</si>
  <si>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</si>
  <si>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</si>
  <si>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</si>
  <si>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</si>
  <si>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</si>
  <si>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</si>
  <si>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</si>
  <si>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</si>
  <si>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</si>
  <si>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</si>
  <si>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</si>
  <si>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</si>
  <si>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</si>
  <si>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</si>
  <si>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</si>
  <si>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</si>
  <si>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</si>
  <si>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</si>
  <si>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</si>
  <si>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</si>
  <si>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</si>
  <si>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</si>
  <si>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</si>
  <si>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</si>
  <si>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</si>
  <si>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</si>
  <si>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</si>
  <si>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</si>
  <si>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</si>
  <si>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</si>
  <si>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</si>
  <si>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</si>
  <si>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</si>
  <si>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</si>
  <si>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</si>
  <si>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</si>
  <si>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</si>
  <si>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</si>
  <si>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</si>
  <si>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</si>
  <si>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</si>
  <si>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</si>
  <si>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</si>
  <si>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</si>
  <si>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</si>
  <si>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</si>
  <si>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</si>
  <si>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</si>
  <si>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</si>
  <si>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</si>
  <si>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</si>
  <si>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</si>
  <si>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</si>
  <si>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</si>
  <si>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</si>
  <si>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</si>
  <si>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</si>
  <si>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</si>
  <si>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</si>
  <si>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</si>
  <si>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</si>
  <si>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</si>
  <si>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</si>
  <si>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</si>
  <si>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</si>
  <si>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</si>
  <si>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</si>
  <si>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</si>
  <si>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</si>
  <si>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</si>
  <si>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</si>
  <si>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</si>
  <si>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</si>
  <si>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</si>
  <si>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</si>
  <si>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</si>
  <si>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</si>
  <si>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</si>
  <si>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</si>
  <si>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</si>
  <si>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</si>
  <si>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</si>
  <si>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</si>
  <si>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</si>
  <si>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</si>
  <si>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</si>
  <si>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</si>
  <si>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</si>
  <si>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</si>
  <si>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</si>
  <si>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</si>
  <si>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</si>
  <si>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</si>
  <si>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</si>
  <si>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</si>
  <si>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</si>
  <si>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</si>
  <si>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</si>
  <si>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</si>
  <si>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</si>
  <si>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</si>
  <si>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</si>
  <si>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</si>
  <si>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</si>
  <si>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</si>
  <si>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</si>
  <si>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</si>
  <si>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</si>
  <si>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</si>
  <si>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</si>
  <si>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</si>
  <si>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</si>
  <si>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</si>
  <si>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</si>
  <si>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</si>
  <si>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</si>
  <si>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</si>
  <si>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</si>
  <si>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</si>
  <si>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</si>
  <si>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</si>
  <si>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</si>
  <si>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</si>
  <si>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</si>
  <si>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</si>
  <si>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</si>
  <si>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</si>
  <si>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</si>
  <si>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</si>
  <si>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</si>
  <si>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</si>
  <si>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</si>
  <si>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</si>
  <si>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</si>
  <si>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</si>
  <si>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</si>
  <si>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</si>
  <si>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</si>
  <si>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</si>
  <si>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</si>
  <si>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</si>
  <si>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</si>
  <si>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</si>
  <si>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</si>
  <si>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</si>
  <si>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</si>
  <si>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</si>
  <si>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</si>
  <si>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</si>
  <si>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</si>
  <si>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</si>
  <si>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</si>
  <si>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</si>
  <si>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</si>
  <si>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</si>
  <si>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</si>
  <si>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</si>
  <si>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</si>
  <si>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</si>
  <si>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</si>
  <si>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</si>
  <si>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</si>
  <si>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</si>
  <si>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</si>
  <si>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</si>
  <si>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</si>
  <si>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</si>
  <si>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</si>
  <si>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</si>
  <si>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</si>
  <si>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</si>
  <si>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</si>
  <si>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</si>
  <si>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</si>
  <si>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</si>
  <si>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</si>
  <si>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</si>
  <si>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</si>
  <si>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</si>
  <si>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</si>
  <si>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</si>
  <si>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</si>
  <si>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</si>
  <si>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</si>
  <si>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</si>
  <si>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</si>
  <si>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</si>
  <si>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</si>
  <si>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</si>
  <si>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</si>
  <si>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</si>
  <si>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</si>
  <si>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</si>
  <si>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</si>
  <si>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</si>
  <si>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</si>
  <si>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</si>
  <si>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</si>
  <si>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</si>
  <si>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</si>
  <si>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</si>
  <si>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</si>
  <si>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</si>
  <si>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</si>
  <si>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</si>
  <si>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</si>
  <si>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</si>
  <si>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</si>
  <si>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</si>
  <si>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</si>
  <si>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</si>
  <si>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</si>
  <si>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</si>
  <si>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</si>
  <si>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</si>
  <si>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</si>
  <si>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</si>
  <si>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</si>
  <si>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</si>
  <si>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</si>
  <si>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</si>
  <si>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</si>
  <si>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</si>
  <si>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</si>
  <si>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</si>
  <si>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</si>
  <si>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</si>
  <si>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</si>
  <si>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</si>
  <si>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</si>
  <si>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</si>
  <si>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</si>
  <si>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</si>
  <si>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</si>
  <si>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</si>
  <si>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</si>
  <si>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</si>
  <si>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</si>
  <si>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</si>
  <si>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</si>
  <si>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</si>
  <si>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</si>
  <si>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</si>
  <si>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</si>
  <si>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</si>
  <si>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</si>
  <si>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</si>
  <si>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</si>
  <si>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</si>
  <si>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</si>
  <si>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</si>
  <si>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</si>
  <si>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</si>
  <si>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</si>
  <si>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</si>
  <si>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</si>
  <si>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</si>
  <si>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</si>
  <si>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</si>
  <si>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</si>
  <si>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</si>
  <si>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</si>
  <si>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</si>
  <si>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</si>
  <si>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</si>
  <si>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</si>
  <si>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</si>
  <si>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</si>
  <si>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</si>
  <si>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</si>
  <si>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</si>
  <si>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</si>
  <si>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</si>
  <si>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</si>
  <si>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</si>
  <si>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</si>
  <si>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</si>
  <si>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</si>
  <si>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</si>
  <si>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</si>
  <si>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</si>
  <si>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</si>
  <si>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</si>
  <si>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</si>
  <si>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</si>
  <si>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</si>
  <si>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</si>
  <si>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</si>
  <si>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</si>
  <si>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</si>
  <si>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</si>
  <si>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</si>
  <si>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</si>
  <si>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</si>
  <si>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</si>
  <si>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</si>
  <si>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</si>
  <si>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</si>
  <si>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</si>
  <si>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</si>
  <si>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</si>
  <si>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</si>
  <si>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</si>
  <si>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</si>
  <si>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</si>
  <si>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</si>
  <si>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</si>
  <si>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</si>
  <si>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</si>
  <si>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</si>
  <si>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</si>
  <si>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</si>
  <si>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</si>
  <si>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</si>
  <si>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</si>
  <si>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</si>
  <si>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</si>
  <si>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</si>
  <si>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</si>
  <si>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</si>
  <si>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</si>
  <si>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</si>
  <si>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</si>
  <si>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</si>
  <si>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</si>
  <si>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</si>
  <si>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</si>
  <si>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</si>
  <si>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</si>
  <si>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</si>
  <si>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</si>
  <si>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</si>
  <si>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</si>
  <si>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</si>
  <si>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</si>
  <si>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</si>
  <si>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</si>
  <si>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</si>
  <si>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</si>
  <si>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</si>
  <si>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</si>
  <si>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</si>
  <si>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</si>
  <si>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</si>
  <si>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</si>
  <si>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</si>
  <si>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</si>
  <si>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</si>
  <si>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</si>
  <si>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</si>
  <si>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</si>
  <si>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</si>
  <si>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</si>
  <si>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</si>
  <si>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</si>
  <si>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</si>
  <si>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</si>
  <si>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</si>
  <si>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</si>
  <si>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</si>
  <si>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</si>
  <si>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</si>
  <si>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</si>
  <si>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</si>
  <si>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</si>
  <si>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</si>
  <si>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</si>
  <si>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</si>
  <si>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</si>
  <si>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</si>
  <si>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</si>
  <si>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</si>
  <si>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</si>
  <si>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</si>
  <si>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</si>
  <si>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</si>
  <si>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</si>
  <si>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</si>
  <si>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</si>
  <si>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</si>
  <si>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</si>
  <si>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</si>
  <si>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</si>
  <si>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</si>
  <si>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</si>
  <si>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</si>
  <si>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</si>
  <si>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</si>
  <si>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</si>
  <si>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</si>
  <si>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</si>
  <si>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</si>
  <si>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</si>
  <si>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</si>
  <si>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</si>
  <si>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</si>
  <si>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</si>
  <si>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</si>
  <si>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</si>
  <si>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</si>
  <si>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</si>
  <si>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</si>
  <si>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</si>
  <si>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</si>
  <si>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</si>
  <si>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</si>
  <si>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</si>
  <si>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</si>
  <si>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</si>
  <si>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</si>
  <si>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</si>
  <si>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</si>
  <si>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</si>
  <si>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</si>
  <si>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</si>
  <si>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</si>
  <si>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</si>
  <si>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</si>
  <si>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</si>
  <si>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</si>
  <si>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</si>
  <si>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</si>
  <si>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</si>
  <si>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</si>
  <si>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</si>
  <si>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</si>
  <si>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</si>
  <si>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</si>
  <si>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</si>
  <si>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</si>
  <si>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</si>
  <si>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</si>
  <si>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</si>
  <si>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</si>
  <si>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</si>
  <si>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</si>
  <si>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</si>
  <si>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</si>
  <si>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</si>
  <si>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</si>
  <si>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</si>
  <si>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</si>
  <si>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</si>
  <si>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</si>
  <si>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</si>
  <si>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</si>
  <si>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</si>
  <si>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</si>
  <si>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</si>
  <si>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</si>
  <si>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</si>
  <si>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</si>
  <si>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</si>
  <si>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</si>
  <si>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</si>
  <si>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</si>
  <si>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</si>
  <si>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</si>
  <si>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</si>
  <si>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</si>
  <si>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</si>
  <si>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</si>
  <si>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</si>
  <si>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</si>
  <si>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</si>
  <si>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</si>
  <si>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</si>
  <si>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</si>
  <si>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</si>
  <si>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</si>
  <si>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</si>
  <si>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</si>
  <si>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</si>
  <si>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</si>
  <si>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</si>
  <si>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</si>
  <si>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</si>
  <si>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</si>
  <si>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</si>
  <si>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</si>
  <si>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</si>
  <si>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</si>
  <si>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</si>
  <si>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</si>
  <si>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</si>
  <si>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</si>
  <si>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</si>
  <si>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</si>
  <si>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</si>
  <si>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</si>
  <si>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</si>
  <si>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</si>
  <si>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</si>
  <si>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</si>
  <si>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</si>
  <si>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</si>
  <si>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</si>
  <si>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</si>
  <si>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</si>
  <si>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</si>
  <si>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</si>
  <si>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</si>
  <si>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</si>
  <si>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</si>
  <si>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</si>
  <si>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</si>
  <si>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</si>
  <si>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</si>
  <si>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</si>
  <si>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</si>
  <si>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</si>
  <si>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</si>
  <si>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</si>
  <si>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</si>
  <si>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</si>
  <si>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</si>
  <si>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</si>
  <si>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</si>
  <si>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</si>
  <si>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</si>
  <si>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</si>
  <si>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</si>
  <si>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</si>
  <si>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</si>
  <si>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</si>
  <si>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</si>
  <si>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</si>
  <si>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</si>
  <si>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</si>
  <si>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</si>
  <si>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</si>
  <si>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</si>
  <si>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</si>
  <si>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</si>
  <si>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</si>
  <si>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</si>
  <si>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</si>
  <si>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</si>
  <si>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</si>
  <si>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</si>
  <si>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</si>
  <si>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</si>
  <si>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</si>
  <si>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</si>
  <si>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</si>
  <si>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</si>
  <si>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</si>
  <si>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</si>
  <si>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</si>
  <si>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</si>
  <si>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</si>
  <si>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</si>
  <si>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</si>
  <si>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</si>
  <si>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</si>
  <si>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</si>
  <si>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</si>
  <si>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</si>
  <si>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</si>
  <si>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</si>
  <si>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</si>
  <si>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</si>
  <si>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</si>
  <si>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</si>
  <si>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</si>
  <si>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</si>
  <si>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</si>
  <si>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</si>
  <si>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</si>
  <si>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</si>
  <si>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</si>
  <si>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</si>
  <si>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</si>
  <si>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</si>
  <si>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</si>
  <si>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</si>
  <si>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</si>
  <si>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</si>
  <si>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</si>
  <si>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</si>
  <si>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</si>
  <si>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</si>
  <si>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</si>
  <si>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</si>
  <si>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</si>
  <si>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</si>
  <si>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</si>
  <si>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</si>
  <si>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</si>
  <si>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</si>
  <si>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</si>
  <si>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</si>
  <si>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</si>
  <si>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</si>
  <si>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</si>
  <si>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</si>
  <si>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</si>
  <si>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</si>
  <si>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</si>
  <si>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</si>
  <si>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</si>
  <si>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</si>
  <si>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</si>
  <si>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</si>
  <si>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</si>
  <si>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</si>
  <si>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</si>
  <si>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</si>
  <si>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</si>
  <si>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</si>
  <si>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</si>
  <si>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</si>
  <si>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</si>
  <si>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</si>
  <si>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</si>
  <si>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</si>
  <si>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</si>
  <si>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</si>
  <si>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</si>
  <si>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</si>
  <si>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</si>
  <si>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</si>
  <si>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</si>
  <si>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</si>
  <si>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</si>
  <si>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</si>
  <si>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</si>
  <si>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</si>
  <si>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</si>
  <si>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</si>
  <si>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</si>
  <si>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</si>
  <si>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</si>
  <si>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</si>
  <si>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</si>
  <si>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</si>
  <si>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</si>
  <si>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</si>
  <si>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</si>
  <si>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</si>
  <si>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</si>
  <si>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</si>
  <si>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</si>
  <si>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</si>
  <si>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</si>
  <si>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</si>
  <si>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</si>
  <si>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</si>
  <si>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</si>
  <si>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</si>
  <si>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</si>
  <si>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</si>
  <si>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</si>
  <si>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</si>
  <si>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</si>
  <si>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</si>
  <si>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</si>
  <si>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</si>
  <si>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</si>
  <si>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</si>
  <si>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</si>
  <si>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</si>
  <si>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</si>
  <si>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</si>
  <si>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</si>
  <si>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</si>
  <si>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</si>
  <si>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</si>
  <si>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</si>
  <si>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</si>
  <si>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</si>
  <si>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</si>
  <si>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</si>
  <si>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</si>
  <si>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</si>
  <si>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</si>
  <si>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</si>
  <si>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</si>
  <si>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</si>
  <si>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</si>
  <si>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</si>
  <si>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</si>
  <si>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</si>
  <si>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</si>
  <si>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</si>
  <si>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</si>
  <si>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</si>
  <si>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</si>
  <si>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</si>
  <si>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</si>
  <si>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</si>
  <si>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</si>
  <si>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</si>
  <si>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</si>
  <si>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</si>
  <si>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</si>
  <si>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</si>
  <si>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</si>
  <si>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</si>
  <si>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</si>
  <si>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</si>
  <si>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</si>
  <si>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</si>
  <si>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</si>
  <si>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</si>
  <si>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</si>
  <si>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</si>
  <si>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</si>
  <si>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</si>
  <si>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</si>
  <si>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</si>
  <si>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</si>
  <si>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</si>
  <si>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</si>
  <si>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</si>
  <si>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</si>
  <si>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</si>
  <si>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</si>
  <si>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</si>
  <si>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</si>
  <si>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</si>
  <si>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</si>
  <si>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</si>
  <si>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</si>
  <si>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</si>
  <si>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</si>
  <si>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</si>
  <si>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</si>
  <si>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</si>
  <si>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</si>
  <si>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</si>
  <si>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</si>
  <si>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</si>
  <si>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</si>
  <si>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</si>
  <si>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</si>
  <si>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</si>
  <si>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</si>
  <si>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</si>
  <si>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</si>
  <si>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</si>
  <si>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</si>
  <si>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</si>
  <si>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</si>
  <si>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</si>
  <si>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</si>
  <si>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</si>
  <si>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</si>
  <si>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</si>
  <si>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</si>
  <si>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</si>
  <si>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</si>
  <si>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</si>
  <si>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</si>
  <si>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</si>
  <si>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</si>
  <si>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</si>
  <si>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</si>
  <si>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</si>
  <si>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</si>
  <si>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</si>
  <si>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</si>
  <si>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</si>
  <si>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</si>
  <si>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</si>
  <si>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</si>
  <si>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</si>
  <si>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</si>
  <si>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</si>
  <si>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</si>
  <si>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</si>
  <si>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</si>
  <si>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</si>
  <si>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</si>
  <si>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</si>
  <si>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</si>
  <si>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</si>
  <si>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</si>
  <si>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</si>
  <si>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</si>
  <si>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</si>
  <si>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</si>
  <si>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</si>
  <si>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</si>
  <si>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</si>
  <si>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</si>
  <si>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</si>
  <si>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</si>
  <si>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</si>
  <si>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</si>
  <si>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</si>
  <si>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</si>
  <si>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</si>
  <si>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</si>
  <si>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</si>
  <si>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</si>
  <si>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</si>
  <si>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</si>
  <si>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</si>
  <si>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</si>
  <si>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</si>
  <si>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</si>
  <si>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</si>
  <si>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</si>
  <si>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</si>
  <si>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</si>
  <si>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</si>
  <si>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</si>
  <si>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</si>
  <si>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</si>
  <si>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</si>
  <si>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</si>
  <si>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</si>
  <si>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</si>
  <si>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</si>
  <si>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</si>
  <si>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</si>
  <si>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</si>
  <si>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</si>
  <si>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</si>
  <si>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</si>
  <si>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</si>
  <si>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</si>
  <si>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</si>
  <si>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</si>
  <si>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</si>
  <si>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</si>
  <si>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</si>
  <si>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</si>
  <si>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</si>
  <si>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</si>
  <si>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</si>
  <si>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</si>
  <si>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</si>
  <si>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</si>
  <si>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</si>
  <si>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</si>
  <si>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</si>
  <si>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</si>
  <si>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</si>
  <si>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</si>
  <si>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</si>
  <si>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</si>
  <si>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</si>
  <si>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</si>
  <si>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</si>
  <si>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</si>
  <si>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</si>
  <si>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</si>
  <si>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</si>
  <si>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</si>
  <si>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</si>
  <si>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</si>
  <si>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</si>
  <si>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</si>
  <si>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</si>
  <si>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</si>
  <si>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</si>
  <si>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</si>
  <si>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</si>
  <si>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</si>
  <si>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</si>
  <si>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</si>
  <si>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</si>
  <si>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</si>
  <si>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</si>
  <si>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</si>
  <si>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</si>
  <si>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</si>
  <si>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</si>
  <si>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</si>
  <si>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</si>
  <si>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</si>
  <si>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</si>
  <si>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</si>
  <si>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</si>
  <si>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</si>
  <si>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</si>
  <si>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</si>
  <si>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</si>
  <si>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</si>
  <si>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</si>
  <si>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</si>
  <si>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</si>
  <si>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</si>
  <si>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</si>
  <si>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</si>
  <si>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</si>
  <si>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</si>
  <si>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</si>
  <si>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</si>
  <si>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</si>
  <si>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</si>
  <si>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</si>
  <si>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</si>
  <si>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</si>
  <si>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</si>
  <si>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</si>
  <si>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</si>
  <si>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</si>
  <si>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</si>
  <si>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</si>
  <si>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</si>
  <si>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</si>
  <si>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</si>
  <si>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</si>
  <si>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</si>
  <si>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</si>
  <si>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</si>
  <si>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</si>
  <si>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</si>
  <si>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</si>
  <si>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</si>
  <si>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</si>
  <si>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</si>
  <si>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</si>
  <si>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</si>
  <si>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</si>
  <si>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</si>
  <si>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</si>
  <si>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</si>
  <si>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</si>
  <si>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</si>
  <si>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</si>
  <si>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</si>
  <si>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</si>
  <si>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</si>
  <si>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</si>
  <si>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</si>
  <si>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</si>
  <si>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</si>
  <si>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</si>
  <si>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</si>
  <si>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</si>
  <si>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</si>
  <si>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</si>
  <si>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</si>
  <si>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</si>
  <si>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</si>
  <si>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</si>
  <si>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</si>
  <si>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</si>
  <si>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</si>
  <si>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</si>
  <si>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</si>
  <si>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</si>
  <si>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</si>
  <si>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</si>
  <si>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</si>
  <si>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</si>
  <si>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</si>
  <si>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</si>
  <si>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</si>
  <si>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</si>
  <si>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</si>
  <si>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</si>
  <si>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</si>
  <si>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</si>
  <si>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</si>
  <si>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</si>
  <si>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</si>
  <si>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</si>
  <si>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</si>
  <si>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</si>
  <si>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</si>
  <si>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</si>
  <si>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</si>
  <si>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</si>
  <si>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</si>
  <si>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</si>
  <si>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</si>
  <si>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</si>
  <si>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</si>
  <si>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</si>
  <si>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</si>
  <si>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</si>
  <si>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</si>
  <si>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</si>
  <si>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</si>
  <si>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</si>
  <si>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</si>
  <si>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</si>
  <si>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</si>
  <si>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</si>
  <si>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</si>
  <si>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</si>
  <si>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</si>
  <si>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</si>
  <si>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</si>
  <si>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</si>
  <si>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</si>
  <si>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</si>
  <si>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</si>
  <si>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</si>
  <si>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</si>
  <si>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</si>
  <si>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</si>
  <si>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</si>
  <si>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</si>
  <si>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</si>
  <si>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</si>
  <si>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</si>
  <si>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</si>
  <si>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</si>
  <si>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</si>
  <si>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</si>
  <si>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</si>
  <si>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</si>
  <si>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</si>
  <si>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</si>
  <si>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</si>
  <si>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</si>
  <si>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</si>
  <si>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</si>
  <si>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</si>
  <si>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</si>
  <si>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</si>
  <si>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</si>
  <si>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</si>
  <si>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</si>
  <si>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</si>
  <si>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</si>
  <si>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</si>
  <si>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</si>
  <si>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</si>
  <si>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</si>
  <si>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</si>
  <si>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</si>
  <si>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</si>
  <si>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</si>
  <si>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</si>
  <si>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</si>
  <si>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</si>
  <si>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</si>
  <si>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</si>
  <si>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</si>
  <si>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</si>
  <si>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</si>
  <si>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</si>
  <si>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</si>
  <si>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</si>
  <si>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</si>
  <si>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</si>
  <si>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</si>
  <si>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</si>
  <si>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</si>
  <si>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</si>
  <si>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</si>
  <si>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</si>
  <si>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</si>
  <si>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</si>
  <si>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</si>
  <si>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</si>
  <si>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</si>
  <si>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</si>
  <si>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</si>
  <si>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</si>
  <si>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</si>
  <si>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</si>
  <si>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</si>
  <si>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</si>
  <si>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</si>
  <si>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</si>
  <si>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</si>
  <si>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</si>
  <si>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</si>
  <si>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</si>
  <si>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</si>
  <si>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</si>
  <si>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</si>
  <si>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</si>
  <si>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</si>
  <si>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</si>
  <si>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</si>
  <si>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</si>
  <si>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</si>
  <si>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</si>
  <si>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</si>
  <si>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</si>
  <si>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</si>
  <si>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</si>
  <si>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</si>
  <si>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</si>
  <si>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</si>
  <si>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</si>
  <si>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</si>
  <si>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</si>
  <si>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</si>
  <si>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</si>
  <si>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</si>
  <si>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</si>
  <si>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</si>
  <si>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</si>
  <si>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</si>
  <si>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</si>
  <si>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</si>
  <si>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</si>
  <si>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</si>
  <si>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</si>
  <si>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</si>
  <si>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</si>
  <si>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</si>
  <si>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</si>
  <si>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</si>
  <si>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</si>
  <si>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</si>
  <si>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</si>
  <si>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</si>
  <si>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</si>
  <si>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</si>
  <si>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</si>
  <si>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</si>
  <si>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</si>
  <si>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</si>
  <si>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</si>
  <si>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</si>
  <si>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</si>
  <si>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</si>
  <si>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</si>
  <si>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</si>
  <si>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</si>
  <si>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</si>
  <si>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</si>
  <si>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</si>
  <si>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</si>
  <si>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</si>
  <si>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</si>
  <si>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</si>
  <si>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</si>
  <si>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</si>
  <si>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</si>
  <si>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</si>
  <si>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</si>
  <si>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</si>
  <si>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</si>
  <si>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</si>
  <si>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</si>
  <si>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</si>
  <si>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</si>
  <si>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</si>
  <si>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</si>
  <si>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</si>
  <si>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</si>
  <si>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</si>
  <si>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</si>
  <si>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</si>
  <si>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</si>
  <si>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</si>
  <si>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</si>
  <si>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</si>
  <si>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</si>
  <si>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</si>
  <si>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</si>
  <si>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</si>
  <si>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</si>
  <si>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</si>
  <si>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</si>
  <si>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</si>
  <si>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</si>
  <si>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</si>
  <si>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</si>
  <si>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</si>
  <si>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</si>
  <si>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</si>
  <si>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</si>
  <si>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</si>
  <si>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</si>
  <si>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</si>
  <si>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</si>
  <si>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</si>
  <si>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</si>
  <si>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</si>
  <si>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</si>
  <si>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</si>
  <si>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</si>
  <si>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</si>
  <si>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</si>
  <si>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</si>
  <si>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</si>
  <si>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</si>
  <si>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</si>
  <si>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</si>
  <si>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</si>
  <si>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</si>
  <si>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</si>
  <si>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</si>
  <si>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</si>
  <si>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</si>
  <si>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</si>
  <si>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</si>
  <si>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</si>
  <si>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</si>
  <si>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</si>
  <si>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</si>
  <si>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</si>
  <si>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</si>
  <si>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</si>
  <si>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</si>
  <si>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</si>
  <si>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</si>
  <si>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</si>
  <si>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</si>
  <si>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</si>
  <si>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</si>
  <si>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</si>
  <si>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</si>
  <si>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</si>
  <si>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</si>
  <si>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</si>
  <si>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</si>
  <si>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</si>
  <si>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</si>
  <si>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</si>
  <si>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</si>
  <si>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</si>
  <si>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</si>
  <si>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</si>
  <si>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</si>
  <si>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</si>
  <si>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</si>
  <si>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</si>
  <si>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</si>
  <si>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</si>
  <si>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</si>
  <si>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</si>
  <si>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</si>
  <si>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</si>
  <si>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</si>
  <si>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</si>
  <si>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</si>
  <si>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</si>
  <si>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</si>
  <si>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</si>
  <si>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</si>
  <si>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</si>
  <si>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</si>
  <si>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</si>
  <si>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</si>
  <si>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</si>
  <si>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</si>
  <si>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</si>
  <si>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</si>
  <si>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</si>
  <si>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</si>
  <si>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</si>
  <si>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</si>
  <si>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</si>
  <si>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</si>
  <si>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</si>
  <si>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</si>
  <si>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</si>
  <si>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</si>
  <si>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</si>
  <si>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</si>
  <si>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</si>
  <si>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</si>
  <si>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</si>
  <si>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</si>
  <si>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</si>
  <si>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</si>
  <si>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</si>
  <si>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</si>
  <si>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</si>
  <si>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</si>
  <si>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</si>
  <si>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</si>
  <si>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</si>
  <si>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</si>
  <si>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</si>
  <si>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</si>
  <si>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</si>
  <si>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</si>
  <si>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</si>
  <si>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</si>
  <si>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</si>
  <si>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</si>
  <si>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</si>
  <si>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</si>
  <si>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</si>
  <si>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</si>
  <si>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</si>
  <si>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</si>
  <si>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</si>
  <si>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</si>
  <si>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</si>
  <si>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</si>
  <si>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</si>
  <si>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</si>
  <si>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</si>
  <si>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</si>
  <si>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</si>
  <si>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</si>
  <si>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</si>
  <si>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</si>
  <si>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</si>
  <si>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</si>
  <si>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</si>
  <si>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</si>
  <si>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</si>
  <si>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</si>
  <si>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</si>
  <si>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</si>
  <si>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</si>
  <si>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</si>
  <si>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</si>
  <si>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</si>
  <si>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</si>
  <si>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</si>
  <si>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</si>
  <si>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</si>
  <si>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</si>
  <si>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</si>
  <si>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</si>
  <si>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</si>
  <si>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</si>
  <si>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</si>
  <si>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</si>
  <si>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</si>
  <si>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</si>
  <si>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</si>
  <si>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</si>
  <si>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</si>
  <si>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</si>
  <si>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</si>
  <si>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</si>
  <si>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</si>
  <si>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</si>
  <si>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</si>
  <si>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</si>
  <si>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</si>
  <si>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</si>
  <si>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</si>
  <si>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</si>
  <si>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</si>
  <si>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</si>
  <si>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</si>
  <si>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</si>
  <si>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</si>
  <si>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</si>
  <si>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</si>
  <si>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</si>
  <si>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</si>
  <si>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</si>
  <si>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</si>
  <si>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</si>
  <si>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</si>
  <si>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</si>
  <si>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</si>
  <si>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</si>
  <si>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</si>
  <si>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</si>
  <si>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</si>
  <si>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</si>
  <si>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</si>
  <si>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</si>
  <si>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</si>
  <si>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</si>
  <si>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</si>
  <si>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</si>
  <si>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</si>
  <si>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</si>
  <si>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</si>
  <si>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</si>
  <si>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</si>
  <si>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</si>
  <si>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</si>
  <si>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</si>
  <si>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</si>
  <si>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</si>
  <si>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</si>
  <si>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</si>
  <si>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</si>
  <si>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</si>
  <si>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</si>
  <si>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</si>
  <si>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</si>
  <si>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</si>
  <si>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</si>
  <si>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</si>
  <si>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</si>
  <si>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</si>
  <si>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</si>
  <si>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</si>
  <si>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</si>
  <si>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</si>
  <si>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</si>
  <si>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</si>
  <si>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</si>
  <si>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</si>
  <si>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</si>
  <si>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</si>
  <si>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</si>
  <si>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</si>
  <si>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</si>
  <si>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</si>
  <si>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</si>
  <si>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</si>
  <si>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</si>
  <si>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</si>
  <si>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</si>
  <si>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</si>
  <si>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</si>
  <si>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</si>
  <si>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</si>
  <si>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</si>
  <si>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</si>
  <si>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</si>
  <si>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</si>
  <si>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</si>
  <si>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</si>
  <si>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</si>
  <si>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</si>
  <si>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</si>
  <si>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</si>
  <si>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</si>
  <si>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</si>
  <si>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</si>
  <si>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</si>
  <si>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</si>
  <si>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</si>
  <si>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</si>
  <si>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</si>
  <si>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</si>
  <si>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</si>
  <si>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</si>
  <si>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</si>
  <si>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</si>
  <si>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</si>
  <si>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</si>
  <si>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</si>
  <si>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</si>
  <si>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</si>
  <si>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</si>
  <si>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</si>
  <si>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</si>
  <si>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</si>
  <si>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</si>
  <si>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</si>
  <si>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</si>
  <si>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</si>
  <si>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</si>
  <si>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</si>
  <si>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</si>
  <si>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</si>
  <si>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</si>
  <si>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</si>
  <si>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</si>
  <si>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</si>
  <si>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</si>
  <si>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</si>
  <si>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</si>
  <si>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</si>
  <si>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</si>
  <si>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</si>
  <si>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</si>
  <si>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</si>
  <si>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</si>
  <si>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</si>
  <si>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</si>
  <si>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</si>
  <si>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</si>
  <si>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</si>
  <si>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</si>
  <si>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</si>
  <si>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</si>
  <si>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</si>
  <si>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</si>
  <si>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</si>
  <si>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</si>
  <si>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</si>
  <si>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</si>
  <si>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</si>
  <si>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</si>
  <si>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</si>
  <si>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</si>
  <si>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</si>
  <si>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</si>
  <si>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</si>
  <si>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</si>
  <si>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</si>
  <si>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</si>
  <si>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</si>
  <si>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</si>
  <si>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</si>
  <si>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</si>
  <si>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</si>
  <si>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</si>
  <si>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</si>
  <si>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</si>
  <si>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</si>
  <si>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</si>
  <si>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</si>
  <si>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</si>
  <si>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</si>
  <si>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</si>
  <si>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</si>
  <si>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</si>
  <si>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</si>
  <si>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</si>
  <si>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</si>
  <si>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</si>
  <si>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</si>
  <si>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</si>
  <si>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</si>
  <si>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</si>
  <si>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</si>
  <si>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</si>
  <si>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</si>
  <si>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</si>
  <si>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</si>
  <si>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</si>
  <si>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</si>
  <si>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</si>
  <si>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</si>
  <si>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</si>
  <si>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</si>
  <si>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</si>
  <si>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</si>
  <si>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</si>
  <si>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</si>
  <si>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</si>
  <si>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</si>
  <si>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</si>
  <si>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</si>
  <si>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</si>
  <si>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</si>
  <si>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</si>
  <si>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</si>
  <si>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</si>
  <si>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</si>
  <si>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</si>
  <si>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</si>
  <si>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</si>
  <si>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</si>
  <si>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</si>
  <si>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</si>
  <si>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</si>
  <si>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</si>
  <si>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</si>
  <si>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</si>
  <si>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</si>
  <si>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</si>
  <si>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</si>
  <si>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</si>
  <si>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</si>
  <si>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</si>
  <si>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</si>
  <si>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</si>
  <si>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</si>
  <si>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</si>
  <si>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</si>
  <si>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</si>
  <si>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</si>
  <si>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</si>
  <si>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</si>
  <si>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</si>
  <si>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</si>
  <si>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</si>
  <si>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</si>
  <si>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</si>
  <si>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</si>
  <si>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</si>
  <si>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</si>
  <si>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</si>
  <si>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</si>
  <si>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</si>
  <si>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</si>
  <si>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</si>
  <si>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</si>
  <si>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</si>
  <si>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</si>
  <si>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</si>
  <si>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</si>
  <si>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</si>
  <si>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</si>
  <si>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</si>
  <si>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</si>
  <si>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</si>
  <si>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</si>
  <si>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</si>
  <si>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</si>
  <si>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</si>
  <si>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</si>
  <si>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</si>
  <si>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</si>
  <si>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</si>
  <si>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</si>
  <si>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</si>
  <si>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</si>
  <si>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</si>
  <si>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</si>
  <si>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</si>
  <si>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</si>
  <si>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</si>
  <si>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</si>
  <si>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</si>
  <si>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</si>
  <si>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</si>
  <si>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</si>
  <si>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</si>
  <si>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</si>
  <si>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</si>
  <si>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</si>
  <si>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</si>
  <si>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</si>
  <si>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</si>
  <si>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</si>
  <si>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</si>
  <si>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</si>
  <si>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</si>
  <si>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</si>
  <si>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</si>
  <si>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</si>
  <si>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</si>
  <si>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</si>
  <si>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</si>
  <si>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</si>
  <si>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</si>
  <si>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</si>
  <si>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</si>
  <si>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</si>
  <si>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</si>
  <si>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</si>
  <si>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</si>
  <si>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</si>
  <si>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</si>
  <si>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</si>
  <si>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</si>
  <si>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</si>
  <si>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</si>
  <si>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</si>
  <si>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</si>
  <si>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</si>
  <si>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</si>
  <si>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</si>
  <si>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</si>
  <si>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</si>
  <si>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</si>
  <si>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</si>
  <si>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</si>
  <si>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</si>
  <si>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</si>
  <si>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</si>
  <si>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</si>
  <si>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</si>
  <si>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</si>
  <si>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</si>
  <si>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</si>
  <si>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</si>
  <si>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</si>
  <si>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</si>
  <si>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</si>
  <si>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</si>
  <si>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</si>
  <si>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</si>
  <si>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</si>
  <si>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</si>
  <si>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</si>
  <si>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</si>
  <si>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</si>
  <si>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</si>
  <si>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</si>
  <si>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</si>
  <si>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</si>
  <si>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</si>
  <si>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</si>
  <si>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</si>
  <si>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</si>
  <si>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</si>
  <si>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</si>
  <si>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</si>
  <si>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</si>
  <si>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</si>
  <si>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</si>
  <si>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</si>
  <si>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</si>
  <si>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</si>
  <si>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</si>
  <si>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</si>
  <si>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</si>
  <si>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</si>
  <si>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</si>
  <si>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</si>
  <si>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</si>
  <si>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</si>
  <si>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</si>
  <si>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</si>
  <si>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</si>
  <si>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</si>
  <si>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</si>
  <si>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</si>
  <si>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</si>
  <si>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</si>
  <si>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</si>
  <si>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</si>
  <si>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</si>
  <si>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</si>
  <si>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</si>
  <si>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</si>
  <si>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</si>
  <si>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</si>
  <si>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</si>
  <si>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</si>
  <si>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</si>
  <si>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</si>
  <si>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</si>
  <si>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</si>
  <si>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</si>
  <si>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</si>
  <si>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</si>
  <si>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</si>
  <si>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</si>
  <si>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</si>
  <si>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</si>
  <si>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</si>
  <si>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</si>
  <si>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</si>
  <si>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</si>
  <si>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</si>
  <si>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</si>
  <si>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</si>
  <si>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</si>
  <si>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</si>
  <si>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</si>
  <si>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</si>
  <si>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</si>
  <si>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</si>
  <si>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</si>
  <si>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</si>
  <si>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</si>
  <si>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</si>
  <si>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</si>
  <si>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</si>
  <si>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</si>
  <si>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</si>
  <si>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</si>
  <si>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</si>
  <si>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</si>
  <si>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</si>
  <si>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</si>
  <si>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</si>
  <si>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</si>
  <si>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</si>
  <si>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</si>
  <si>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</si>
  <si>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</si>
  <si>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</si>
  <si>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</si>
  <si>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</si>
  <si>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</si>
  <si>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</si>
  <si>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</si>
  <si>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</si>
  <si>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</si>
  <si>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</si>
  <si>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</si>
  <si>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</si>
  <si>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</si>
  <si>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</si>
  <si>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</si>
  <si>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</si>
  <si>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</si>
  <si>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</si>
  <si>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</si>
  <si>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</si>
  <si>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</si>
  <si>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</si>
  <si>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</si>
  <si>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</si>
  <si>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</si>
  <si>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</si>
  <si>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</si>
  <si>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</si>
  <si>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</si>
  <si>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</si>
  <si>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</si>
  <si>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</si>
  <si>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</si>
  <si>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</si>
  <si>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</si>
  <si>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</si>
  <si>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</si>
  <si>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</si>
  <si>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</si>
  <si>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</si>
  <si>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</si>
  <si>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</si>
  <si>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</si>
  <si>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</si>
  <si>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</si>
  <si>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</si>
  <si>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</si>
  <si>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</si>
  <si>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</si>
  <si>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</si>
  <si>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</si>
  <si>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</si>
  <si>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</si>
  <si>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</si>
  <si>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</si>
  <si>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</si>
  <si>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</si>
  <si>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</si>
  <si>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</si>
  <si>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</si>
  <si>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</si>
  <si>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</si>
  <si>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</si>
  <si>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</si>
  <si>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</si>
  <si>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</si>
  <si>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</si>
  <si>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</si>
  <si>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</si>
  <si>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</si>
  <si>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</si>
  <si>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</si>
  <si>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</si>
  <si>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</si>
  <si>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</si>
  <si>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</si>
  <si>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</si>
  <si>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</si>
  <si>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</si>
  <si>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</si>
  <si>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</si>
  <si>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</si>
  <si>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</si>
  <si>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</si>
  <si>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</si>
  <si>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</si>
  <si>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</si>
  <si>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</si>
  <si>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</si>
  <si>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</si>
  <si>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</si>
  <si>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</si>
  <si>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</si>
  <si>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</si>
  <si>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</si>
  <si>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</si>
  <si>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</si>
  <si>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</si>
  <si>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</si>
  <si>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</si>
  <si>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</si>
  <si>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</si>
  <si>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</si>
  <si>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</si>
  <si>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</si>
  <si>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</si>
  <si>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</si>
  <si>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</si>
  <si>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</si>
  <si>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</si>
  <si>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</si>
  <si>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</si>
  <si>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</si>
  <si>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</si>
  <si>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</si>
  <si>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</si>
  <si>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</si>
  <si>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</si>
  <si>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</si>
  <si>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</si>
  <si>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</si>
  <si>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</si>
  <si>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</si>
  <si>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</si>
  <si>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</si>
  <si>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</si>
  <si>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</si>
  <si>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</si>
  <si>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</si>
  <si>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</si>
  <si>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</si>
  <si>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</si>
  <si>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</si>
  <si>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</si>
  <si>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</si>
  <si>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</si>
  <si>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</si>
  <si>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</si>
  <si>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</si>
  <si>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</si>
  <si>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</si>
  <si>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</si>
  <si>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</si>
  <si>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</si>
  <si>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</si>
  <si>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</si>
  <si>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</si>
  <si>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</si>
  <si>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</si>
  <si>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</si>
  <si>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</si>
  <si>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</si>
  <si>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</si>
  <si>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</si>
  <si>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</si>
  <si>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</si>
  <si>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</si>
  <si>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</si>
  <si>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</si>
  <si>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</si>
  <si>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</si>
  <si>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</si>
  <si>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</si>
  <si>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</si>
  <si>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</si>
  <si>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</si>
  <si>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</si>
  <si>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</si>
  <si>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</si>
  <si>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</si>
  <si>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</si>
  <si>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</si>
  <si>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</si>
  <si>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</si>
  <si>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</si>
  <si>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</si>
  <si>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</si>
  <si>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</si>
  <si>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</si>
  <si>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</si>
  <si>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</si>
  <si>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</si>
  <si>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</si>
  <si>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</si>
  <si>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</si>
  <si>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</si>
  <si>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</si>
  <si>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</si>
  <si>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</si>
  <si>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</si>
  <si>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</si>
  <si>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</si>
  <si>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</si>
  <si>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</si>
  <si>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</si>
  <si>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</si>
  <si>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</si>
  <si>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</si>
  <si>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</si>
  <si>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</si>
  <si>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</si>
  <si>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</si>
  <si>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</si>
  <si>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</si>
  <si>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</si>
  <si>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</si>
  <si>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</si>
  <si>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</si>
  <si>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</si>
  <si>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</si>
  <si>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</si>
  <si>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</si>
  <si>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</si>
  <si>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</si>
  <si>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</si>
  <si>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</si>
  <si>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</si>
  <si>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</si>
  <si>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</si>
  <si>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</si>
  <si>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</si>
  <si>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</si>
  <si>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</si>
  <si>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</si>
  <si>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</si>
  <si>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</si>
  <si>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</si>
  <si>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</si>
  <si>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</si>
  <si>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</si>
  <si>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</si>
  <si>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</si>
  <si>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</si>
  <si>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</si>
  <si>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</si>
  <si>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</si>
  <si>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</si>
  <si>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</si>
  <si>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</si>
  <si>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</si>
  <si>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</si>
  <si>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</si>
  <si>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</si>
  <si>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</si>
  <si>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</si>
  <si>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</si>
  <si>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</si>
  <si>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</si>
  <si>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</si>
  <si>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</si>
  <si>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</si>
  <si>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</si>
  <si>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</si>
  <si>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</si>
  <si>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</si>
  <si>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</si>
  <si>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</si>
  <si>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</si>
  <si>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</si>
  <si>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</si>
  <si>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</si>
  <si>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</si>
  <si>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</si>
  <si>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</si>
  <si>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</si>
  <si>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</si>
  <si>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</si>
  <si>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</si>
  <si>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</si>
  <si>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</si>
  <si>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</si>
  <si>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</si>
  <si>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</si>
  <si>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</si>
  <si>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</si>
  <si>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</si>
  <si>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</si>
  <si>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</si>
  <si>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</si>
  <si>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</si>
  <si>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</si>
  <si>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</si>
  <si>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</si>
  <si>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</si>
  <si>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</si>
  <si>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</si>
  <si>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</si>
  <si>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</si>
  <si>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</si>
  <si>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</si>
  <si>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</si>
  <si>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</si>
  <si>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</si>
  <si>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</si>
  <si>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</si>
  <si>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</si>
  <si>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</si>
  <si>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</si>
  <si>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</si>
  <si>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</si>
  <si>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</si>
  <si>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</si>
  <si>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</si>
  <si>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</si>
  <si>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</si>
  <si>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</si>
  <si>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</si>
  <si>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</si>
  <si>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</si>
  <si>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</si>
  <si>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</si>
  <si>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</si>
  <si>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</si>
  <si>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</si>
  <si>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</si>
  <si>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</si>
  <si>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</si>
  <si>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</si>
  <si>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</si>
  <si>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</si>
  <si>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</si>
  <si>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</si>
  <si>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</si>
  <si>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</si>
  <si>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</si>
  <si>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</si>
  <si>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</si>
  <si>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</si>
  <si>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</si>
  <si>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</si>
  <si>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</si>
  <si>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</si>
  <si>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</si>
  <si>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</si>
  <si>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</si>
  <si>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</si>
  <si>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</si>
  <si>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</si>
  <si>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</si>
  <si>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</si>
  <si>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</si>
  <si>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</si>
  <si>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</si>
  <si>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</si>
  <si>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</si>
  <si>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</si>
  <si>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</si>
  <si>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</si>
  <si>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</si>
  <si>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</si>
  <si>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</si>
  <si>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</si>
  <si>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</si>
  <si>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</si>
  <si>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</si>
  <si>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</si>
  <si>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</si>
  <si>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</si>
  <si>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</si>
  <si>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</si>
  <si>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</si>
  <si>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</si>
  <si>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</si>
  <si>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</si>
  <si>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</si>
  <si>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</si>
  <si>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</si>
  <si>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</si>
  <si>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</si>
  <si>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</si>
  <si>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</si>
  <si>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</si>
  <si>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</si>
  <si>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</si>
  <si>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</si>
  <si>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</si>
  <si>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</si>
  <si>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</si>
  <si>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</si>
  <si>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</si>
  <si>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</si>
  <si>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</si>
  <si>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</si>
  <si>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</si>
  <si>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</si>
  <si>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</si>
  <si>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</si>
  <si>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</si>
  <si>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</si>
  <si>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</si>
  <si>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</si>
  <si>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</si>
  <si>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</si>
  <si>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</si>
  <si>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</si>
  <si>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</si>
  <si>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</si>
  <si>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</si>
  <si>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</si>
  <si>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</si>
  <si>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</si>
  <si>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</si>
  <si>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</si>
  <si>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</si>
  <si>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</si>
  <si>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</si>
  <si>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</si>
  <si>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</si>
  <si>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</si>
  <si>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</si>
  <si>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</si>
  <si>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</si>
  <si>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</si>
  <si>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</si>
  <si>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</si>
  <si>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</si>
  <si>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</si>
  <si>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</si>
  <si>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</si>
  <si>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</si>
  <si>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</si>
  <si>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</si>
  <si>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</si>
  <si>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</si>
  <si>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</si>
  <si>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</si>
  <si>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</si>
  <si>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</si>
  <si>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</si>
  <si>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</si>
  <si>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</si>
  <si>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</si>
  <si>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</si>
  <si>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</si>
  <si>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</si>
  <si>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</si>
  <si>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</si>
  <si>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</si>
  <si>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</si>
  <si>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</si>
  <si>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</si>
  <si>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</si>
  <si>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</si>
  <si>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</si>
  <si>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</si>
  <si>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</si>
  <si>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</si>
  <si>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</si>
  <si>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</si>
  <si>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</si>
  <si>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</si>
  <si>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</si>
  <si>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</si>
  <si>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</si>
  <si>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</si>
  <si>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</si>
  <si>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</si>
  <si>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</si>
  <si>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</si>
  <si>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</si>
  <si>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</si>
  <si>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</si>
  <si>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</si>
  <si>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</si>
  <si>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</si>
  <si>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</si>
  <si>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</si>
  <si>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</si>
  <si>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</si>
  <si>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</si>
  <si>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</si>
  <si>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</si>
  <si>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</si>
  <si>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</si>
  <si>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</si>
  <si>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</si>
  <si>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</si>
  <si>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</si>
  <si>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</si>
  <si>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</si>
  <si>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</si>
  <si>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</si>
  <si>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</si>
  <si>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</si>
  <si>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</si>
  <si>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</si>
  <si>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</si>
  <si>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</si>
  <si>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</si>
  <si>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</si>
  <si>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</si>
  <si>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</si>
  <si>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</si>
  <si>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</si>
  <si>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</si>
  <si>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</si>
  <si>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</si>
  <si>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</si>
  <si>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</si>
  <si>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</si>
  <si>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</si>
  <si>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</si>
  <si>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</si>
  <si>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</si>
  <si>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</si>
  <si>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</si>
  <si>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</si>
  <si>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</si>
  <si>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</si>
  <si>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</si>
  <si>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</si>
  <si>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</si>
  <si>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</si>
  <si>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</si>
  <si>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</si>
  <si>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</si>
  <si>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</si>
  <si>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</si>
  <si>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</si>
  <si>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</si>
  <si>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</si>
  <si>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</si>
  <si>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</si>
  <si>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</si>
  <si>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</si>
  <si>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</si>
  <si>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</si>
  <si>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</si>
  <si>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</si>
  <si>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</si>
  <si>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</si>
  <si>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</si>
  <si>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</si>
  <si>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</si>
  <si>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</si>
  <si>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</si>
  <si>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</si>
  <si>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</si>
  <si>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</si>
  <si>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</si>
  <si>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</si>
  <si>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</si>
  <si>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</si>
  <si>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</si>
  <si>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</si>
  <si>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</si>
  <si>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</si>
  <si>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</si>
  <si>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</si>
  <si>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</si>
  <si>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</si>
  <si>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</si>
  <si>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</si>
  <si>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</si>
  <si>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</si>
  <si>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</si>
  <si>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</si>
  <si>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</si>
  <si>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</si>
  <si>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</si>
  <si>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</si>
  <si>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</si>
  <si>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</si>
  <si>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</si>
  <si>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</si>
  <si>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</si>
  <si>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</si>
  <si>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</si>
  <si>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</si>
  <si>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</si>
  <si>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</si>
  <si>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</si>
  <si>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</si>
  <si>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</si>
  <si>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</si>
  <si>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</si>
  <si>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</si>
  <si>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</si>
  <si>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</si>
  <si>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</si>
  <si>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</si>
  <si>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</si>
  <si>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</si>
  <si>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</si>
  <si>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</si>
  <si>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</si>
  <si>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</si>
  <si>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</si>
  <si>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</si>
  <si>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</si>
  <si>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</si>
  <si>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</si>
  <si>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</si>
  <si>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</si>
  <si>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</si>
  <si>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</si>
  <si>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</si>
  <si>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</si>
  <si>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</si>
  <si>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</si>
  <si>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</si>
  <si>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</si>
  <si>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</si>
  <si>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</si>
  <si>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</si>
  <si>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</si>
  <si>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</si>
  <si>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</si>
  <si>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</si>
  <si>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</si>
  <si>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</si>
  <si>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</si>
  <si>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</si>
  <si>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</si>
  <si>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</si>
  <si>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</si>
  <si>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</si>
  <si>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</si>
  <si>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</si>
  <si>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</si>
  <si>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</si>
  <si>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</si>
  <si>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</si>
  <si>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</si>
  <si>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</si>
  <si>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</si>
  <si>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</si>
  <si>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</si>
  <si>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</si>
  <si>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</si>
  <si>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</si>
  <si>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</si>
  <si>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</si>
  <si>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</si>
  <si>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</si>
  <si>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</si>
  <si>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</si>
  <si>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</si>
  <si>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</si>
  <si>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</si>
  <si>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</si>
  <si>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</si>
  <si>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</si>
  <si>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</si>
  <si>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</si>
  <si>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</si>
  <si>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</si>
  <si>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</si>
  <si>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</si>
  <si>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</si>
  <si>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</si>
  <si>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</si>
  <si>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</si>
  <si>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</si>
  <si>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</si>
  <si>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</si>
  <si>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</si>
  <si>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</si>
  <si>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</si>
  <si>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</si>
  <si>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</si>
  <si>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</si>
  <si>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</si>
  <si>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</si>
  <si>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</si>
  <si>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</si>
  <si>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</si>
  <si>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</si>
  <si>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</si>
  <si>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</si>
  <si>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</si>
  <si>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</si>
  <si>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</si>
  <si>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</si>
  <si>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</si>
  <si>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</si>
  <si>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</si>
  <si>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</si>
  <si>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</si>
  <si>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</si>
  <si>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</si>
  <si>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</si>
  <si>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</si>
  <si>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</si>
  <si>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</si>
  <si>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</si>
  <si>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</si>
  <si>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</si>
  <si>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</si>
  <si>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</si>
  <si>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</si>
  <si>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</si>
  <si>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</si>
  <si>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</si>
  <si>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</si>
  <si>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</si>
  <si>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</si>
  <si>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</si>
  <si>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</si>
  <si>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</si>
  <si>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Sum of Amount</t>
  </si>
  <si>
    <t>Sum of Quantity</t>
  </si>
  <si>
    <t>Average of Rating C</t>
  </si>
  <si>
    <t>Average of Days to Deliver</t>
  </si>
  <si>
    <t>Count of TX ID</t>
  </si>
  <si>
    <t>Unknown</t>
  </si>
  <si>
    <t>Male</t>
  </si>
  <si>
    <t>Female</t>
  </si>
  <si>
    <t>Other</t>
  </si>
  <si>
    <t>orders</t>
  </si>
  <si>
    <t>amount</t>
  </si>
  <si>
    <t>quantity</t>
  </si>
  <si>
    <t>avg rating</t>
  </si>
  <si>
    <t>avg delivery</t>
  </si>
  <si>
    <t>Row Labels</t>
  </si>
  <si>
    <t>Grand Total</t>
  </si>
  <si>
    <t>Column Labels</t>
  </si>
  <si>
    <t>6 to 10</t>
  </si>
  <si>
    <t>more than 10</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</si>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</sst>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0.0"/>
    <numFmt numFmtId="166" formatCode="0.0%"/>
    <numFmt numFmtId="167" formatCode="&quot;$&quot;#.0,\k"/>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11">
    <border>
      <left/>
      <right/>
      <top/>
      <bottom/>
      <diagonal/>
    </border>
    <border>
      <left style="thick">
        <color theme="0"/>
      </left>
      <right style="medium">
        <color theme="0"/>
      </right>
      <top style="thick">
        <color theme="0"/>
      </top>
      <bottom style="medium">
        <color theme="0"/>
      </bottom>
      <diagonal/>
    </border>
    <border>
      <left style="medium">
        <color theme="0"/>
      </left>
      <right style="medium">
        <color theme="0"/>
      </right>
      <top style="thick">
        <color theme="0"/>
      </top>
      <bottom style="medium">
        <color theme="0"/>
      </bottom>
      <diagonal/>
    </border>
    <border>
      <left style="medium">
        <color theme="0"/>
      </left>
      <right style="thick">
        <color theme="0"/>
      </right>
      <top style="thick">
        <color theme="0"/>
      </top>
      <bottom style="medium">
        <color theme="0"/>
      </bottom>
      <diagonal/>
    </border>
    <border>
      <left style="thick">
        <color theme="0"/>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style="medium">
        <color theme="0"/>
      </left>
      <right style="thick">
        <color theme="0"/>
      </right>
      <top style="medium">
        <color theme="0"/>
      </top>
      <bottom style="medium">
        <color theme="0"/>
      </bottom>
      <diagonal/>
    </border>
    <border>
      <left style="thick">
        <color theme="0"/>
      </left>
      <right style="medium">
        <color theme="0"/>
      </right>
      <top style="medium">
        <color theme="0"/>
      </top>
      <bottom style="thick">
        <color theme="0"/>
      </bottom>
      <diagonal/>
    </border>
    <border>
      <left style="medium">
        <color theme="0"/>
      </left>
      <right style="medium">
        <color theme="0"/>
      </right>
      <top style="medium">
        <color theme="0"/>
      </top>
      <bottom style="thick">
        <color theme="0"/>
      </bottom>
      <diagonal/>
    </border>
    <border>
      <left style="medium">
        <color theme="0"/>
      </left>
      <right style="thick">
        <color theme="0"/>
      </right>
      <top style="medium">
        <color theme="0"/>
      </top>
      <bottom style="thick">
        <color theme="0"/>
      </bottom>
      <diagonal/>
    </border>
    <border>
      <left/>
      <right/>
      <top/>
      <bottom style="thin">
        <color theme="4" tint="0.39997558519241921"/>
      </bottom>
      <diagonal/>
    </border>
  </borders>
  <cellStyleXfs count="1">
    <xf numFmtId="0" fontId="0" fillId="0" borderId="0"/>
  </cellStyleXfs>
  <cellXfs count="23">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164" fontId="0" fillId="0" borderId="0" xfId="0" applyNumberFormat="1"/>
    <xf numFmtId="2" fontId="0" fillId="0" borderId="0" xfId="0" applyNumberFormat="1"/>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166" fontId="0" fillId="0" borderId="1" xfId="0" applyNumberFormat="1" applyBorder="1"/>
    <xf numFmtId="166" fontId="0" fillId="0" borderId="2" xfId="0" applyNumberFormat="1" applyBorder="1"/>
    <xf numFmtId="166" fontId="0" fillId="0" borderId="3" xfId="0" applyNumberFormat="1" applyBorder="1"/>
    <xf numFmtId="166" fontId="0" fillId="0" borderId="4" xfId="0" applyNumberFormat="1" applyBorder="1"/>
    <xf numFmtId="166" fontId="0" fillId="0" borderId="5" xfId="0" applyNumberFormat="1" applyBorder="1"/>
    <xf numFmtId="166" fontId="0" fillId="0" borderId="6" xfId="0" applyNumberFormat="1" applyBorder="1"/>
    <xf numFmtId="166" fontId="0" fillId="0" borderId="7" xfId="0" applyNumberFormat="1" applyBorder="1"/>
    <xf numFmtId="166" fontId="0" fillId="0" borderId="8" xfId="0" applyNumberFormat="1" applyBorder="1"/>
    <xf numFmtId="166" fontId="0" fillId="0" borderId="9" xfId="0" applyNumberFormat="1" applyBorder="1"/>
    <xf numFmtId="167" fontId="0" fillId="0" borderId="0" xfId="0" applyNumberFormat="1"/>
    <xf numFmtId="0" fontId="1" fillId="0" borderId="0" xfId="0" applyFont="1"/>
    <xf numFmtId="0" fontId="1" fillId="0" borderId="10" xfId="0" applyFont="1" applyBorder="1"/>
  </cellXfs>
  <cellStyles count="1">
    <cellStyle name="Normal" xfId="0" builtinId="0"/>
  </cellStyles>
  <dxfs count="5">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[ExcelProject1.xlsx]Sheet1!trend</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Last 13 week trends-Qty &amp; Amount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1"/>
          <c:order val="1"/>
          <c:tx>
            <c:strRef>
              <c:f>Sheet1!$C$10</c:f>
              <c:strCache>
                <c:ptCount val="1"/>
                <c:pt idx="0">
                  <c:v>Sum of Amount</c:v>
                </c:pt>
              </c:strCache>
            </c:strRef>
          </c:tx>
          <c:spPr>
            <a:ln w="34925" cap="rnd">
              <a:solidFill>
                <a:schemeClr val="accent5">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cat>
            <c:strRef>
              <c:f>Sheet1!$A$11:$A$24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Sheet1!$C$11:$C$24</c:f>
              <c:numCache>
                <c:formatCode>General</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0-A712-47B3-A28A-907C547B15CA}"/>
            </c:ext>
          </c:extLst>
        </c:ser>
        <c:dLbls>
          <c:showLegendKey val="0"/>
          <c:showVal val="0"/>
          <c:showCatName val="0"/>
          <c:showSerName val="0"/>
          <c:showPercent val="0"/>
          <c:showBubbleSize val="0"/>
        </c:dLbls>
        <c:marker val="1"/>
        <c:smooth val="0"/>
        <c:axId val="1560280655"/>
        <c:axId val="1560281615"/>
      </c:lineChart>
      <c:lineChart>
        <c:grouping val="stacked"/>
        <c:varyColors val="0"/>
        <c:ser>
          <c:idx val="0"/>
          <c:order val="0"/>
          <c:tx>
            <c:strRef>
              <c:f>Sheet1!$B$10</c:f>
              <c:strCache>
                <c:ptCount val="1"/>
                <c:pt idx="0">
                  <c:v>Sum of Quantity</c:v>
                </c:pt>
              </c:strCache>
            </c:strRef>
          </c:tx>
          <c:spPr>
            <a:ln w="34925" cap="rnd">
              <a:solidFill>
                <a:schemeClr val="accent5">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cat>
            <c:strRef>
              <c:f>Sheet1!$A$11:$A$24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Sheet1!$B$11:$B$24</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1-A712-47B3-A28A-907C547B15CA}"/>
            </c:ext>
          </c:extLst>
        </c:ser>
        <c:dLbls>
          <c:showLegendKey val="0"/>
          <c:showVal val="0"/>
          <c:showCatName val="0"/>
          <c:showSerName val="0"/>
          <c:showPercent val="0"/>
          <c:showBubbleSize val="0"/>
        </c:dLbls>
        <c:marker val="1"/>
        <c:smooth val="0"/>
        <c:axId val="1874489039"/>
        <c:axId val="1874490959"/>
      </c:lineChart>
      <c:catAx>
        <c:axId val="156028065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0281615"/>
        <c:crosses val="autoZero"/>
        <c:auto val="1"/>
        <c:lblAlgn val="ctr"/>
        <c:lblOffset val="100"/>
        <c:noMultiLvlLbl val="0"/>
      </c:catAx>
      <c:valAx>
        <c:axId val="15602816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0280655"/>
        <c:crosses val="autoZero"/>
        <c:crossBetween val="between"/>
      </c:valAx>
      <c:valAx>
        <c:axId val="18744909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4489039"/>
        <c:crosses val="max"/>
        <c:crossBetween val="between"/>
      </c:valAx>
      <c:catAx>
        <c:axId val="1874489039"/>
        <c:scaling>
          <c:orientation val="minMax"/>
        </c:scaling>
        <c:delete val="1"/>
        <c:axPos val="b"/>
        <c:numFmt formatCode="General" sourceLinked="1"/>
        <c:majorTickMark val="out"/>
        <c:minorTickMark val="none"/>
        <c:tickLblPos val="nextTo"/>
        <c:crossAx val="1874490959"/>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[ExcelProject1.xlsx]Sheet1!barchart1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How Many they buy?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Sheet1!$C$30</c:f>
              <c:strCache>
                <c:ptCount val="1"/>
                <c:pt idx="0">
                  <c:v>Total</c:v>
                </c:pt>
              </c:strCache>
            </c:strRef>
          </c:tx>
          <c:spPr>
            <a:solidFill>
              <a:schemeClr val="accent5">
                <a:lumMod val="75000"/>
              </a:schemeClr>
            </a:solidFill>
            <a:ln>
              <a:noFill/>
            </a:ln>
            <a:effectLst/>
          </c:spPr>
          <c:invertIfNegative val="0"/>
          <c:cat>
            <c:strRef>
              <c:f>Sheet1!$B$31:$B$38</c:f>
              <c:strCache>
                <c:ptCount val="7"/>
                <c:pt idx="0">
                  <c:v>1</c:v>
                </c:pt>
                <c:pt idx="1">
                  <c:v>2</c:v>
                </c:pt>
                <c:pt idx="2">
                  <c:v>3</c:v>
                </c:pt>
                <c:pt idx="3">
                  <c:v>4</c:v>
                </c:pt>
                <c:pt idx="4">
                  <c:v>5</c:v>
                </c:pt>
                <c:pt idx="5">
                  <c:v>6 to 10</c:v>
                </c:pt>
                <c:pt idx="6">
                  <c:v>more than 10</c:v>
                </c:pt>
              </c:strCache>
            </c:strRef>
          </c:cat>
          <c:val>
            <c:numRef>
              <c:f>Sheet1!$C$31:$C$38</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7591-442D-B85A-41CE0ABE64FC}"/>
            </c:ext>
          </c:extLst>
        </c:ser>
        <c:dLbls>
          <c:showLegendKey val="0"/>
          <c:showVal val="0"/>
          <c:showCatName val="0"/>
          <c:showSerName val="0"/>
          <c:showPercent val="0"/>
          <c:showBubbleSize val="0"/>
        </c:dLbls>
        <c:gapWidth val="10"/>
        <c:overlap val="-24"/>
        <c:axId val="1874471279"/>
        <c:axId val="1874477999"/>
      </c:barChart>
      <c:catAx>
        <c:axId val="18744712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477999"/>
        <c:crosses val="autoZero"/>
        <c:auto val="1"/>
        <c:lblAlgn val="ctr"/>
        <c:lblOffset val="100"/>
        <c:noMultiLvlLbl val="0"/>
      </c:catAx>
      <c:valAx>
        <c:axId val="187447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47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[ExcelProject1.xlsx]Sheet1!barchart</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products are popular?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Sheet1!$B$43:$B$44</c:f>
              <c:strCache>
                <c:ptCount val="1"/>
                <c:pt idx="0">
                  <c:v>Female</c:v>
                </c:pt>
              </c:strCache>
            </c:strRef>
          </c:tx>
          <c:spPr>
            <a:solidFill>
              <a:schemeClr val="accent1"/>
            </a:solidFill>
            <a:ln>
              <a:noFill/>
            </a:ln>
            <a:effectLst/>
          </c:spPr>
          <c:invertIfNegative val="0"/>
          <c:cat>
            <c:strRef>
              <c:f>Sheet1!$A$45:$A$65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Sheet1!$B$45:$B$65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0BAC-4B42-9F29-021FC6777A37}"/>
            </c:ext>
          </c:extLst>
        </c:ser>
        <c:ser>
          <c:idx val="1"/>
          <c:order val="1"/>
          <c:tx>
            <c:strRef>
              <c:f>Sheet1!$C$43:$C$44</c:f>
              <c:strCache>
                <c:ptCount val="1"/>
                <c:pt idx="0">
                  <c:v>Male</c:v>
                </c:pt>
              </c:strCache>
            </c:strRef>
          </c:tx>
          <c:spPr>
            <a:solidFill>
              <a:schemeClr val="accent2"/>
            </a:solidFill>
            <a:ln>
              <a:noFill/>
            </a:ln>
            <a:effectLst/>
          </c:spPr>
          <c:invertIfNegative val="0"/>
          <c:cat>
            <c:strRef>
              <c:f>Sheet1!$A$45:$A$65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Sheet1!$C$45:$C$65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AC0C-4E4F-A914-64AD2661853D}"/>
            </c:ext>
          </c:extLst>
        </c:ser>
        <c:ser>
          <c:idx val="2"/>
          <c:order val="2"/>
          <c:tx>
            <c:strRef>
              <c:f>Sheet1!$D$43:$D$44</c:f>
              <c:strCache>
                <c:ptCount val="1"/>
                <c:pt idx="0">
                  <c:v>Other</c:v>
                </c:pt>
              </c:strCache>
            </c:strRef>
          </c:tx>
          <c:spPr>
            <a:solidFill>
              <a:schemeClr val="accent3"/>
            </a:solidFill>
            <a:ln>
              <a:noFill/>
            </a:ln>
            <a:effectLst/>
          </c:spPr>
          <c:invertIfNegative val="0"/>
          <c:cat>
            <c:strRef>
              <c:f>Sheet1!$A$45:$A$65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Sheet1!$D$45:$D$65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AC0C-4E4F-A914-64AD2661853D}"/>
            </c:ext>
          </c:extLst>
        </c:ser>
        <c:ser>
          <c:idx val="3"/>
          <c:order val="3"/>
          <c:tx>
            <c:strRef>
              <c:f>Sheet1!$E$43:$E$44</c:f>
              <c:strCache>
                <c:ptCount val="1"/>
                <c:pt idx="0">
                  <c:v>Unknown</c:v>
                </c:pt>
              </c:strCache>
            </c:strRef>
          </c:tx>
          <c:spPr>
            <a:solidFill>
              <a:schemeClr val="accent4"/>
            </a:solidFill>
            <a:ln>
              <a:noFill/>
            </a:ln>
            <a:effectLst/>
          </c:spPr>
          <c:invertIfNegative val="0"/>
          <c:cat>
            <c:strRef>
              <c:f>Sheet1!$A$45:$A$65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Sheet1!$E$45:$E$65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AC0C-4E4F-A914-64AD2661853D}"/>
            </c:ext>
          </c:extLst>
        </c:ser>
        <c:dLbls>
          <c:showLegendKey val="0"/>
          <c:showVal val="0"/>
          <c:showCatName val="0"/>
          <c:showSerName val="0"/>
          <c:showPercent val="0"/>
          <c:showBubbleSize val="0"/>
        </c:dLbls>
        <c:gapWidth val="150"/>
        <c:overlap val="100"/>
        <c:axId val="266582271"/>
        <c:axId val="266579871"/>
      </c:barChart>
      <c:catAx>
        <c:axId val="266582271"/>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579871"/>
        <c:crosses val="autoZero"/>
        <c:auto val="1"/>
        <c:lblAlgn val="ctr"/>
        <c:lblOffset val="100"/>
        <c:noMultiLvlLbl val="0"/>
      </c:catAx>
      <c:valAx>
        <c:axId val="26657987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58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[ExcelProject1.xlsx]Sheet1!piechart</c:name>
    <c:fmtId val="6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
              <c:y val="-6.7132867132867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0.16538461538461538"/>
              <c:y val="-8.951048951048951E-2"/>
            </c:manualLayout>
          </c:layout>
          <c:spPr>
            <a:noFill/>
            <a:ln>
              <a:noFill/>
            </a:ln>
            <a:effectLst/>
          </c:spPr>
          <c:txPr>
            <a:bodyPr rot="0" spcFirstLastPara="1" vertOverflow="ellipsis" vert="horz" wrap="square" anchor="ctr" anchorCtr="0"/>
            <a:lstStyle/>
            <a:p>
              <a:pPr algn="ctr" rtl="0">
                <a:defRPr lang="en-US" sz="900" b="0" i="0" u="none" strike="noStrike" kern="1200" baseline="0">
                  <a:solidFill>
                    <a:sysClr val="windowText" lastClr="000000">
                      <a:lumMod val="75000"/>
                      <a:lumOff val="25000"/>
                    </a:sys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4615384615384616"/>
              <c:y val="-7.27272727272727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8.0769230769230788E-2"/>
              <c:y val="7.27272727272727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
              <c:y val="-6.7132867132867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0769230769230788E-2"/>
              <c:y val="7.27272727272727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4615384615384616"/>
              <c:y val="-7.27272727272727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6538461538461538"/>
              <c:y val="-8.951048951048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
              <c:y val="-6.7132867132867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8.0769230769230788E-2"/>
              <c:y val="7.27272727272727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4615384615384616"/>
              <c:y val="-7.27272727272727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6538461538461538"/>
              <c:y val="-8.951048951048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Sheet1!$I$43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66-4725-9A52-A162A2E7E1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66-4725-9A52-A162A2E7E1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66-4725-9A52-A162A2E7E1F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D66-4725-9A52-A162A2E7E1F2}"/>
              </c:ext>
            </c:extLst>
          </c:dPt>
          <c:dLbls>
            <c:dLbl>
              <c:idx val="0"/>
              <c:layout>
                <c:manualLayout>
                  <c:x val="0.1"/>
                  <c:y val="-6.7132867132867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D66-4725-9A52-A162A2E7E1F2}"/>
                </c:ext>
              </c:extLst>
            </c:dLbl>
            <c:dLbl>
              <c:idx val="1"/>
              <c:layout>
                <c:manualLayout>
                  <c:x val="-8.0769230769230788E-2"/>
                  <c:y val="7.272727272727272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D66-4725-9A52-A162A2E7E1F2}"/>
                </c:ext>
              </c:extLst>
            </c:dLbl>
            <c:dLbl>
              <c:idx val="2"/>
              <c:layout>
                <c:manualLayout>
                  <c:x val="-0.14615384615384616"/>
                  <c:y val="-7.272727272727275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D66-4725-9A52-A162A2E7E1F2}"/>
                </c:ext>
              </c:extLst>
            </c:dLbl>
            <c:dLbl>
              <c:idx val="3"/>
              <c:layout>
                <c:manualLayout>
                  <c:x val="0.16538461538461538"/>
                  <c:y val="-8.95104895104895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D66-4725-9A52-A162A2E7E1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Sheet1!$H$44:$H$48</c:f>
              <c:strCache>
                <c:ptCount val="4"/>
                <c:pt idx="0">
                  <c:v>Female</c:v>
                </c:pt>
                <c:pt idx="1">
                  <c:v>Male</c:v>
                </c:pt>
                <c:pt idx="2">
                  <c:v>Other</c:v>
                </c:pt>
                <c:pt idx="3">
                  <c:v>Unknown</c:v>
                </c:pt>
              </c:strCache>
            </c:strRef>
          </c:cat>
          <c:val>
            <c:numRef>
              <c:f>Sheet1!$I$44:$I$48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2D66-4725-9A52-A162A2E7E1F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[ExcelProject1.xlsx]Sheet1!shipment</c:name>
    <c:fmtId val="2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How long we take to ship?</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Sheet1!$C$141</c:f>
              <c:strCache>
                <c:ptCount val="1"/>
                <c:pt idx="0">
                  <c:v>Total</c:v>
                </c:pt>
              </c:strCache>
            </c:strRef>
          </c:tx>
          <c:spPr>
            <a:solidFill>
              <a:schemeClr val="accent5">
                <a:lumMod val="50000"/>
              </a:schemeClr>
            </a:solid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Sheet1!$B$142:$B$157</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Sheet1!$C$142:$C$157</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AFE2-4023-86C7-292D6F6BD929}"/>
            </c:ext>
          </c:extLst>
        </c:ser>
        <c:dLbls>
          <c:dLblPos val="outEnd"/>
          <c:showLegendKey val="0"/>
          <c:showVal val="1"/>
          <c:showCatName val="0"/>
          <c:showSerName val="0"/>
          <c:showPercent val="0"/>
          <c:showBubbleSize val="0"/>
        </c:dLbls>
        <c:gapWidth val="315"/>
        <c:overlap val="-40"/>
        <c:axId val="777196175"/>
        <c:axId val="657797407"/>
      </c:barChart>
      <c:catAx>
        <c:axId val="7771961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7797407"/>
        <c:crosses val="autoZero"/>
        <c:auto val="1"/>
        <c:lblAlgn val="ctr"/>
        <c:lblOffset val="100"/>
        <c:noMultiLvlLbl val="0"/>
      </c:catAx>
      <c:valAx>
        <c:axId val="65779740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719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[ExcelProject1.xlsx]Sheet1!rating</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 satisifed are our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Sheet1!$G$141:$G$142</c:f>
              <c:strCache>
                <c:ptCount val="1"/>
                <c:pt idx="0">
                  <c:v>1</c:v>
                </c:pt>
              </c:strCache>
            </c:strRef>
          </c:tx>
          <c:spPr>
            <a:solidFill>
              <a:schemeClr val="accent1"/>
            </a:solidFill>
            <a:ln>
              <a:noFill/>
            </a:ln>
            <a:effectLst/>
          </c:spPr>
          <c:invertIfNegative val="0"/>
          <c:cat>
            <c:strRef>
              <c:f>Sheet1!$F$143:$F$146</c:f>
              <c:strCache>
                <c:ptCount val="3"/>
                <c:pt idx="0">
                  <c:v>Jan</c:v>
                </c:pt>
                <c:pt idx="1">
                  <c:v>Feb</c:v>
                </c:pt>
                <c:pt idx="2">
                  <c:v>Mar</c:v>
                </c:pt>
              </c:strCache>
            </c:strRef>
          </c:cat>
          <c:val>
            <c:numRef>
              <c:f>Sheet1!$G$143:$G$146</c:f>
              <c:numCache>
                <c:formatCode>General</c:formatCode>
                <c:ptCount val="3"/>
                <c:pt idx="0">
                  <c:v>7</c:v>
                </c:pt>
                <c:pt idx="1">
                  <c:v>8</c:v>
                </c:pt>
                <c:pt idx="2">
                  <c:v>6</c:v>
                </c:pt>
              </c:numCache>
            </c:numRef>
          </c:val>
          <c:extLst>
            <c:ext xmlns:c16="http://schemas.microsoft.com/office/drawing/2014/chart" uri="{C3380CC4-5D6E-409C-BE32-E72D297353CC}">
              <c16:uniqueId val="{00000000-6D56-4243-BB48-DB20E82AF707}"/>
            </c:ext>
          </c:extLst>
        </c:ser>
        <c:ser>
          <c:idx val="1"/>
          <c:order val="1"/>
          <c:tx>
            <c:strRef>
              <c:f>Sheet1!$H$141:$H$142</c:f>
              <c:strCache>
                <c:ptCount val="1"/>
                <c:pt idx="0">
                  <c:v>2</c:v>
                </c:pt>
              </c:strCache>
            </c:strRef>
          </c:tx>
          <c:spPr>
            <a:solidFill>
              <a:schemeClr val="accent2"/>
            </a:solidFill>
            <a:ln>
              <a:noFill/>
            </a:ln>
            <a:effectLst/>
          </c:spPr>
          <c:invertIfNegative val="0"/>
          <c:cat>
            <c:strRef>
              <c:f>Sheet1!$F$143:$F$146</c:f>
              <c:strCache>
                <c:ptCount val="3"/>
                <c:pt idx="0">
                  <c:v>Jan</c:v>
                </c:pt>
                <c:pt idx="1">
                  <c:v>Feb</c:v>
                </c:pt>
                <c:pt idx="2">
                  <c:v>Mar</c:v>
                </c:pt>
              </c:strCache>
            </c:strRef>
          </c:cat>
          <c:val>
            <c:numRef>
              <c:f>Sheet1!$H$143:$H$146</c:f>
              <c:numCache>
                <c:formatCode>General</c:formatCode>
                <c:ptCount val="3"/>
                <c:pt idx="0">
                  <c:v>37</c:v>
                </c:pt>
                <c:pt idx="1">
                  <c:v>51</c:v>
                </c:pt>
                <c:pt idx="2">
                  <c:v>39</c:v>
                </c:pt>
              </c:numCache>
            </c:numRef>
          </c:val>
          <c:extLst>
            <c:ext xmlns:c16="http://schemas.microsoft.com/office/drawing/2014/chart" uri="{C3380CC4-5D6E-409C-BE32-E72D297353CC}">
              <c16:uniqueId val="{00000001-6D56-4243-BB48-DB20E82AF707}"/>
            </c:ext>
          </c:extLst>
        </c:ser>
        <c:ser>
          <c:idx val="2"/>
          <c:order val="2"/>
          <c:tx>
            <c:strRef>
              <c:f>Sheet1!$I$141:$I$142</c:f>
              <c:strCache>
                <c:ptCount val="1"/>
                <c:pt idx="0">
                  <c:v>3</c:v>
                </c:pt>
              </c:strCache>
            </c:strRef>
          </c:tx>
          <c:spPr>
            <a:solidFill>
              <a:schemeClr val="accent3"/>
            </a:solidFill>
            <a:ln>
              <a:noFill/>
            </a:ln>
            <a:effectLst/>
          </c:spPr>
          <c:invertIfNegative val="0"/>
          <c:cat>
            <c:strRef>
              <c:f>Sheet1!$F$143:$F$146</c:f>
              <c:strCache>
                <c:ptCount val="3"/>
                <c:pt idx="0">
                  <c:v>Jan</c:v>
                </c:pt>
                <c:pt idx="1">
                  <c:v>Feb</c:v>
                </c:pt>
                <c:pt idx="2">
                  <c:v>Mar</c:v>
                </c:pt>
              </c:strCache>
            </c:strRef>
          </c:cat>
          <c:val>
            <c:numRef>
              <c:f>Sheet1!$I$143:$I$146</c:f>
              <c:numCache>
                <c:formatCode>General</c:formatCode>
                <c:ptCount val="3"/>
                <c:pt idx="0">
                  <c:v>150</c:v>
                </c:pt>
                <c:pt idx="1">
                  <c:v>182</c:v>
                </c:pt>
                <c:pt idx="2">
                  <c:v>163</c:v>
                </c:pt>
              </c:numCache>
            </c:numRef>
          </c:val>
          <c:extLst>
            <c:ext xmlns:c16="http://schemas.microsoft.com/office/drawing/2014/chart" uri="{C3380CC4-5D6E-409C-BE32-E72D297353CC}">
              <c16:uniqueId val="{00000002-6D56-4243-BB48-DB20E82AF707}"/>
            </c:ext>
          </c:extLst>
        </c:ser>
        <c:ser>
          <c:idx val="3"/>
          <c:order val="3"/>
          <c:tx>
            <c:strRef>
              <c:f>Sheet1!$J$141:$J$142</c:f>
              <c:strCache>
                <c:ptCount val="1"/>
                <c:pt idx="0">
                  <c:v>4</c:v>
                </c:pt>
              </c:strCache>
            </c:strRef>
          </c:tx>
          <c:spPr>
            <a:solidFill>
              <a:schemeClr val="accent4"/>
            </a:solidFill>
            <a:ln>
              <a:noFill/>
            </a:ln>
            <a:effectLst/>
          </c:spPr>
          <c:invertIfNegative val="0"/>
          <c:cat>
            <c:strRef>
              <c:f>Sheet1!$F$143:$F$146</c:f>
              <c:strCache>
                <c:ptCount val="3"/>
                <c:pt idx="0">
                  <c:v>Jan</c:v>
                </c:pt>
                <c:pt idx="1">
                  <c:v>Feb</c:v>
                </c:pt>
                <c:pt idx="2">
                  <c:v>Mar</c:v>
                </c:pt>
              </c:strCache>
            </c:strRef>
          </c:cat>
          <c:val>
            <c:numRef>
              <c:f>Sheet1!$J$143:$J$146</c:f>
              <c:numCache>
                <c:formatCode>General</c:formatCode>
                <c:ptCount val="3"/>
                <c:pt idx="0">
                  <c:v>312</c:v>
                </c:pt>
                <c:pt idx="1">
                  <c:v>373</c:v>
                </c:pt>
                <c:pt idx="2">
                  <c:v>351</c:v>
                </c:pt>
              </c:numCache>
            </c:numRef>
          </c:val>
          <c:extLst>
            <c:ext xmlns:c16="http://schemas.microsoft.com/office/drawing/2014/chart" uri="{C3380CC4-5D6E-409C-BE32-E72D297353CC}">
              <c16:uniqueId val="{00000009-6D56-4243-BB48-DB20E82AF707}"/>
            </c:ext>
          </c:extLst>
        </c:ser>
        <c:ser>
          <c:idx val="4"/>
          <c:order val="4"/>
          <c:tx>
            <c:strRef>
              <c:f>Sheet1!$K$141:$K$142</c:f>
              <c:strCache>
                <c:ptCount val="1"/>
                <c:pt idx="0">
                  <c:v>5</c:v>
                </c:pt>
              </c:strCache>
            </c:strRef>
          </c:tx>
          <c:spPr>
            <a:solidFill>
              <a:schemeClr val="accent5"/>
            </a:solidFill>
            <a:ln>
              <a:noFill/>
            </a:ln>
            <a:effectLst/>
          </c:spPr>
          <c:invertIfNegative val="0"/>
          <c:cat>
            <c:strRef>
              <c:f>Sheet1!$F$143:$F$146</c:f>
              <c:strCache>
                <c:ptCount val="3"/>
                <c:pt idx="0">
                  <c:v>Jan</c:v>
                </c:pt>
                <c:pt idx="1">
                  <c:v>Feb</c:v>
                </c:pt>
                <c:pt idx="2">
                  <c:v>Mar</c:v>
                </c:pt>
              </c:strCache>
            </c:strRef>
          </c:cat>
          <c:val>
            <c:numRef>
              <c:f>Sheet1!$K$143:$K$146</c:f>
              <c:numCache>
                <c:formatCode>General</c:formatCode>
                <c:ptCount val="3"/>
                <c:pt idx="0">
                  <c:v>224</c:v>
                </c:pt>
                <c:pt idx="1">
                  <c:v>247</c:v>
                </c:pt>
                <c:pt idx="2">
                  <c:v>250</c:v>
                </c:pt>
              </c:numCache>
            </c:numRef>
          </c:val>
          <c:extLst>
            <c:ext xmlns:c16="http://schemas.microsoft.com/office/drawing/2014/chart" uri="{C3380CC4-5D6E-409C-BE32-E72D297353CC}">
              <c16:uniqueId val="{0000000B-6D56-4243-BB48-DB20E82AF707}"/>
            </c:ext>
          </c:extLst>
        </c:ser>
        <c:dLbls>
          <c:showLegendKey val="0"/>
          <c:showVal val="0"/>
          <c:showCatName val="0"/>
          <c:showSerName val="0"/>
          <c:showPercent val="0"/>
          <c:showBubbleSize val="0"/>
        </c:dLbls>
        <c:gapWidth val="219"/>
        <c:overlap val="-27"/>
        <c:axId val="943769615"/>
        <c:axId val="943770095"/>
      </c:barChart>
      <c:catAx>
        <c:axId val="94376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770095"/>
        <c:crosses val="autoZero"/>
        <c:auto val="1"/>
        <c:lblAlgn val="ctr"/>
        <c:lblOffset val="100"/>
        <c:noMultiLvlLbl val="0"/>
      </c:catAx>
      <c:valAx>
        <c:axId val="94377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76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 live?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Where do our customer live?</a:t>
          </a:r>
        </a:p>
      </cx:txPr>
    </cx:title>
    <cx:plotArea>
      <cx:plotAreaRegion>
        <cx:series layoutId="regionMap" uniqueId="{CF687F0F-0F53-4D87-9792-98B3EB1A5B58}">
          <cx:spPr>
            <a:solidFill>
              <a:schemeClr val="accent5">
                <a:lumMod val="60000"/>
                <a:lumOff val="40000"/>
                <a:alpha val="95000"/>
              </a:schemeClr>
            </a:solidFill>
            <a:ln>
              <a:solidFill>
                <a:schemeClr val="tx1">
                  <a:lumMod val="95000"/>
                  <a:lumOff val="5000"/>
                </a:schemeClr>
              </a:solidFill>
            </a:ln>
          </cx:spPr>
          <cx:dataId val="0"/>
          <cx:layoutPr>
            <cx:geography cultureLanguage="en-US" cultureRegion="US" attribution="Powered by Bing">
              <cx:geoCache provider="{E9337A44-BEBE-4D9F-B70C-5C5E7DAFC167}">
                <cx:binary>5H1pc9s4tvZfSeXzSzc2EsTUzFQNSEnel3hJp7+wFFvhvgJcf/09sp2MRcm5dFXrw9WrpDtlkwc6
5APg7Af/fOz+8ZisltWnLk0y9Y/H7l+fA62Lf/zxh3oMVulSHaXhY5Wr/Ic+eszTP/IfP8LH1R9P
1bINM/8PgjD74zFYVnrVff73P2E0f5Wf549LHebZTb2q+i8rVSda/ebazkuflk9pmLmh0lX4qPG/
PjvLJPyRV1m4/Lx5jcC1PNPV8pOTK73+f53p/vOnVaZD3d/1xepfnzcGI58//TH+zi3+PiXwCLp+
AmJqHyFsC0EpF88f+/OnJM/818sGJuQIU2abHMOVl6+9XKZA+VG+nrlaPj1VK6XgIZ//fWeUjSeC
e/4z8a08rt/OGhUfAPrX5/ss1KunT7d6qVfq86dQ5c+vr+qdfP3o97fP7+qPTVz//c/RL+DtjX7z
Bvrxq/7fLm2i+78g/58EXvTTPkDnRzZiNrEt+gI63wadcMK4BdPpLeYf4Gg33OMBJiA9Jjk4kIsw
W+1lYVuCmhY22e6FjcURh49pcjYGeSpH72G8QT8J4g2KQ0M4XT7l1V4QprBEEbEBwM09GwG0hAiK
BFp/8AjgyQy9A/Am/RSANykODGBZa72PFSyOTEwoQ++tYIKPTJNZGJMRwJMZ2o3vJvkEeDcJDgxd
0M2Wzapaqr2sYCwsggnnz+sUgbgdL2TLRgImgbW5hD/E1G6Ut4eYgPQ20YGh7a6ST5c5aPx/P9oM
H3GTwca81rfXny2tix0RxChoXSO160NM7UZ7e4gJaG8THRjaTp7Uah8KtgAkYdmC9vXOwiZHCNnU
EswcLezJHO3GefREE0AeURwYwrPkk5tXoID9/esZTGdOhGWSVyNKiO3dG4xqDMaz9TwLRlL6Q6zt
Rnt7iAmAbxMdGOYXyyos8r2sa37EbEa4aZOXdQ2QbghsMKqExbhNOHrZ4zdX90c424341ggTAN+i
OTC85+BSyvaxwK0jTrFlmhi/gDle4GsT2jbhDx7t4tM52o3yiH4CxiOKA0N4kayybA87OFhYBJlY
EFCvN9bx2uspbMypOVLFJnOyG9hN8gm4bhIcGKzHdfo9T570348sAw+IbWHGtpFlR9jCFIH3c9cO
/RGWdkO8NcIElLdoDgzok7RYVeEy+fuBpuSIC2KbjOIXiUxHKxmbRyZs4SYGT9n6M1LCPsLZbry3
RpiA9xbNgeF9u8w+yVWVLauncC+SGRYxmE/YpvQd1PkREQwJDiL7bQDj44ztBv2dcSZA/w7lgU2A
k6zfj0JmIwIim7/GNLYUMhvEtrAs2x4FK6fysxvtDeoJGG/cf2DIfgnBGarCpz04yCg9EjYyKX3Z
qZ/36g2tDPMjCq5SgsfL+kNM7cZ4e4gJQG8THRja10kNaRJ7ENtgJ1OLg+/k1bTa8oWiI8FsYUII
c3MHn87RbpxH9BNAHlEcGMJnIKb3gK8JK/U5dPW6lnc4StZ5J5gSQP6thJ7Kz250N6gnYLtx/6Eh
CzlM+1i61hGABtkhzHzXK2LBNYhKjqGdytA72G6QTwF3g+DA0L1bBct0D6ELsJzBVLKQSd5xeoFr
BOKRGOLOLz7QkUE1na/dKI/oJ8A8ojgwnK+qZebvR9ni69iEbb2XHwRJYiZkkFhjk3k6R7sRHtFP
QHhEcWAIny/jfeArjiCWjCEO8Woib+UWkCOBTWzZfJRbMJWf3ehuUE/AduP+A0P2Olk+rvaT+WWD
awNW70t+Fxo7vSAzCGxkcImRXyL6rY41na/dGI/oJ6A8ojgwnM+XSq32oEWDLGaQv2mL12jjNs7o
yILLzLZGqtZ0jnYjPKKfgPCI4sAQvs2T5V4cmfYRMWEdc/66S4/tJNC2EBO2icYZYNM52o3wiH4C
wiOKA0P4PFef/gOaVrLah83EjkChJtT+aTONqywwzANGIZ0XBPaOKMUHmduN+K5BJsC+i+zAsH/x
yUO1yJ581iascULfMZdBVjNEEAQrR3rYx7jajfmOMSZAvoPqwBC/WD5BSu8e/F4W5P8A1JAi9BKY
2trP0RGyoJ6K4VFkajpHu5Ee0U9AeURxcAhX4R5UMsqPBGcmwPua9TfeyUFgmxCYtLgYhaDWWViT
GHoP37fkk+B9S3Bg6MIOta6GrOphP2uYg4MLYevFetoBMRTd2Ah8I5u+649xtRvnHWNMAHsH1YEh
frHKnvLH/WQTiCO8doJx/ppDsrVpU0jn5hal65T9t4b0h5jajff2EBPg3iY6MLRv8yzfh3cbcrYZ
FZbgkKD7/NnynEA+ETYtBhJ6E+rpHO3GeUQ/AeQRxaEhHCz3UtAOPhOoaLWoTd+rqSJH1IbsIXud
Gvh2Md9O5ugdhDfppyC8SXFgCF+sqkcov3f+9pYFkAWCLGHZ1msG55Z8BreZjQXY0ux5jY8iVNP5
2o3ziH4CziOKQ8M5B8H898MM5XJMIMgA+amGwXLdyAYisNIZgeJYDJv424V8MZWhd/DdIJ8C7wbB
waG7N7+nCSnar0t4qxYSSisI6NgC4ldjcKfx8x62b6gnQfvm/sNDVq+qVf/3L11qHVncWvu039Oy
8JEFSpZFxw1GLqDZzVSe3kV4c4RpKG/SHBjSl8tiH74u8FmDIs0g0eddXRqKLKB/gT0qopnKz26E
N6gnoLtx/6Ehu2qWe+kQBNuvRbhN0asfc8tOgggzhuplNvaBXE7m6B10N+mn4LtJcWAI3y4fK2gD
le0lNmGDrQRdghj0mHj+gHtjU8Va62DrP5DKuf6MNOmP8bYb7x1jTMB8B9XB4b72cMpl9X25l0AF
O2IErd3U76T5gQJmCRsS/aBJwfNnUw17cTh+gL330N/1lJMmwC7Cw5sDn9xw5e8jLPns5+Im1M6N
1jwUWWBwn0Bt1WvAcgv46Ty9C/poiGmAj4gOEOwL6FS4D7Cf2xZwDsUU7+zzkNNLbHCCs60dPvs0
man30d4cYiLam0QHiPYcUnsfQ/WY/1xhf0c/Tw6FzwhxqIB7gXpcIgfxSdj4sWnTkWENO/qnXxxN
sQnfh3t7mImQbxMeGuzhqtqLOIdOBhaiUNT+oqjtyhSEiyDwIZVslyY3ma93UN+knwL3JsWh4QyL
6TRflvW0kP8He/ZCDgJkIDACC/n5s8M4IwIKdITYDfbHmHsH8R2DTIF9B9kBYn9eh+rT1fdQFfsQ
5+YRgegVmN+w068/W/FqSAuGujtoDLljj/8ga++jv2ugiTNgF+nhzYJ1hkqyH+sNQmCQLAqlHe+F
wPARaAAY/DOj8tnXRJGpbL2L/tazTUN+i+zQUA9VHPZ5PUV/+timv+4eSUFtIz97du9Q7Czo92xC
euFPffKlUfvtB3h6B+/xCFPAHtMcGtJ6mYUqWdb7SBfnUNaBoPmU9V7tFnhf0TphnI+SDKHX/Qe4
egft7TGm4L1NdWCI30E+JRy6sIelDc2qoKQaVLpXV9uWGxZK9SCMAq64kXn+AZZ2Yz0eYALQY5ID
Q/l23cx7HzV7kGRICYFmz68O17HfDeoArHUt0FZEZTpHuzEe0U+AeERxYAjf1aD97KPiFhojULSu
in+tyhyr5eucBrFWy8yRhJ7O0W6ER/QTEB5RHBzC0EU53cupGmB629BZDFbpu6YXeGEwtskWxtN5
eg/l0QiTcB7RHBjSDxAYrffiUINe7OAuo+i9c5GeFzNUWFtopIJ9gKXdOI8HmADzmOTAUP6WJ/tw
o9iQpQSd5ECzGoXAQBTDBY6hUeimKTWVkd3AblBPQHXj/kODtP4O3pG/PTV4XcmBodkn5A0+f7aa
XsCRKdDwwobUsxGyE/l5B9m31FOQfXv//wFkf8/ixgOvzzT7z893uyOg9dHz6aCRJ5xxY0Gawm6B
u85TwFDOAbjvylOAA0t+naz3kiO8i6fdqL6l3XjGl0f8/UvZz2lz759E9+uQP3epl7Pn4wHfHEb3
+6vPjw9nG45IX5Oqd7ywX/l8J0//+gzZf9SETiNvkF0PtJGS/dL/4+e02KRaQSHIvz7DSYNQGgtO
DdOywIlFBYJ873b1egnykGxQuqgFncVMiG5+/pTBIS0BnF8ojqBFOwV1jAiTYajZ+/xJ5fXzJTif
AUP7DLS2uiDRxRK/DnG8zpPez7Nfb+X1509ZnV7nYabVemD4kuLlvjW/JjLhsLS1YgeVnQTmJAXZ
UDwuv6ybjMFL+H9N3zZMM95e6a6JHabjr3nTf+F508wS4V+luIwe87DJZNjTO6pp5DTU8G5t3v4w
AjQnlsnkQI1B+nY5Q1liy5T7ySysvO+VH2OnS3glmzr7wkTiL5DIvUXbeBc2nG3pBgX/XtPw1mqG
r0GqLYckupakYE6XB+lxzItTWqgURgwiSUU2HxJyC9/lthrXsmrrwCV1j2Vk15HjDdaFjsU9tPgK
ZBb7T5GyL1jl3SDWXQW+Os45LmTT9DckQGjObNrIiDXXHeH5zKbEkpx0rUyT2PF8IoehdGhZRyeI
kVC2BT7GgZfOhc7VLA61Pav7gs5o7C2sOKlkTlNx7BXsrhJaNr1wa0pndaGQLCszdMK0PxlwxByd
Bbb00fBgiqc099yKdBdKpae80X/WaAidIlKdZDRsZN17ibSaOpBm168alJ80mM85NbgUKHjwcepL
YRtOYielZFUq/XA4jgi/akN+yZnv+Hn1kBvm97ruz3geL4x4cC3KnVLhk9qLb0hPM+mb1hcb3pAX
cl8aeTVvk+SyYuKLFaLvcTcg2SGBpYnwIAVv71PCvkW2uCQFbx3dZGxe1FhJ0fEzHNl3RkIzxxrQ
Q9hEiWyz6Gyg3n3RVZdFbZz5VSykSpIVM4K/usa4K2h93gXdFy2sObKMP2sjekxEZErT7BunKnwu
hyS3Z0SVP3jf36LaCGXJxAXAdN5G3C2ryPXYD1yYM4/A47T1MC94rlzCwts8iI6tyM4l8vliiLgp
qyz/i2bWN5qq3sn6bsnqFuYXLkuZ+lksG52f4yZ58mBGioqmLiP5AifWaW31x7mlnxqDRZIE9M5U
/sIPQ0MOXnmNUasljpvOhaNTAlkZfeQaQW3LntqFRCJ+iDS8pCEzImkGypQsJV+0VcxEkR73KK3E
TOmsOPX81r8kdf7QqW9JeUJhzX1LdSjzvkTHgR+HctDsPi/74KZvK3HixUkqc666BWu8UKK6ZU5d
4mjW14EpQ6P4YUatFuctLnV24wVe1M90GpfDfWPmYSzNprOVkL4Xs9vMo0XsGD59CFmUzxiub6GO
ZZBez2SXMdMVbeMmdhS5PBOLvmiVa2DbdnVbJadhwfgsbTw8K1r6LW/MaDYMsNySAKZ01mpLBl3l
hKZJHSNMXd8W3a1ddJbMg+CqC4YnojsZlr7thmE5R23t1nGKZ0OHvVlm2YEb2/484fyyY0zqInQG
ZH8NzWwe2KYntR3MLa1PQpvKCvVu0uXXSVjPi8bQzmCos7xQhTQafcqCzL9M4u4+ZtYtvF28KAW7
VFF13ZX1vYjFcUVZ5vhe+11Z7CHP6Z8p4okkXulECU1lWQ7D3GrDBzPomMyHNHCgo/dl6zVCZi1t
nThIzlE7LOC3xOnCqJClNr8VhlVIUhqzisY/+qG8LyL+UJThRVKx75Uacgel/MrS4tSqcyRZGVBJ
yxbLXvuGgzz8HXXRF5tk5wBeKUU0tFLH/D5tmhZWCNWO2drBrLR91xoM5kIB0iCjuHRzDYuph6XH
B3jOgJwov2lkGOgvUQ27AMGnCPMzr9bnsZlUDhdcy6S1Auk1qZA0TBNZcztyWYqHmRfrlREMep6L
MprrWoSyKNBl5glj1iR1f0wyfDr43tLo0/MgHu6NnhKJu/7RaMroti+6zqna9rhQLJNpL2KX++Vj
m6NQGhUqnDzN7kPbOguK4jEcuHZ8gtK7LquOjYzcc1KnjlcAGgn35n0dI9f2bNg22hOeFp7rWfVx
EYF0KPSjIC2TKk1grqm0bk2ZIN+oTiuE+0aixM9mzBJqrjytxF8kVZpfvD1Wd0PSPuZFX4V+8Hpi
8q8f/32Xp/D3+Zzd//5yfeDyf39arPJ1OEuNb1prRL/u+u9ZvWsN5NfBvSO95uXU5neUnt9e/JBG
hKCC+NdZzFsakQOOGbXc1ojWVL80IrBDIYUDzl+GhquUUdBIfmlEkL8JqTw2HEVkgjNqfWLcfzUi
aF4Al6AE0nxOBXurEa0PJYPOvAIGtTj0IPn5FjZwAlVwh0YEJwJva0TQxJdBO25gAY7BWV9/oxF1
refHhuWxq3goOIhtK0/p9yag2rsilkPT9MKIDHJsezxxjDq47ZnPZGyxws1IjST2LNAXkjKe1UIz
V5kpOkZtHLl2RyunbvIl7gffqc1wOZSqc1MaKLdS1lmS+qVTetF1VIqHwvf0rEgVk42twpndD+g4
FJZy4xp7UlhxI1sjbWZBpRM3sPRZnRVCYh5+bbB1E9JsYSVp5eSdmzXDIix1KxuUIhlH+c3gtw+5
lZ8oBpIoTHLQu7ThO6JUngyrYSmi6sayQOLUKWhFIiHXBOnkomZDPrdjM3OJl+RwDnj5g3r+so5q
7aQGn+l+1XbEdHuznDUG9d0kzS46wr4WmV9IZbfFMVNZ6lS0LZy4AC2N5oYtB1tUDm66MzqE0YxU
w6q2vXmdN2dYtAvMuzmkoywUVbOqyl0S4cbRCUiqqqErLYgTtx5oJkiSgZ5n/XA8mC2Xte9VMoAd
pEnDO7sGXTNJiuM09mddHt0lwnA1CMSiQmeBUTteGvpOZaY3DUBapyyYoS6ssoUGATe3reIUm+n3
TAWJE3LvHDXiPGvCzGGJl1mnoDpWN7hDhfdXVCU+mSma+9mNMei+WKQ460Hdi9Gf/RCJHNS5+JGY
dN4FVStDUj8KFczhPDbfaW24HNbtqmRYOaAECpk23bHug0uWefbMaLt+XurgR2tYFWi8/TcLiTs9
dDe4wX/RqjhF+fANtC7hWKaiM+6zp5B0py3y+7+SoIxlqAvuMFDP7KZqQKErjyOzuvFEcswr2ziv
eXnXh/BYRVKX0vftK69ToWMHww+wXtw60KAvxJaYaatHxwP/gaOczUKsHxqdBG5aMALqAbmMfUEX
phGeVt6w6ApsulXaVI6RB48+CC8H5MQwt9uocKLeXxBDfQvb/DiHZeNkdtZJuw9kwdUw035WSGzF
J13LPMeujOveM/6sNDq1CordiET3phf4MxtOIpXK6yWsZpfY1XHCY+5YOj/NTNXKIC1AJ7JNGVjx
DxXoqyJly0Z551YyRDLuo0s4Fu2soEEjrVycZW3CJaG0cSLGZRWEgYx00y7KLgVFI6BYEgFd9WL7
2wB2Q5qYJ0j532hMi9vBALlpBHYnE2LecyO47YgB2l/7Zxmw8KQIxMnQlWeebxdnXq7+tDpvgW1+
a1jWSUDtK0OomwBZq4INl2laHcc5zM3B6kGi4ax2G+J/aZp8EaP82K/DRRUFYhZ3IpOweqy/VKNO
AhLVXzy7CWSYJfO0a88sreLZ/4+i7a2MMiGB/LdSbcvd8mw7P1P9lGoYDm9Zd8JDcM6pCeILBvwl
1aAqZV1xBtkPNrh81tnor1KNQR9EvK4XRms/DxyhCrLwp52/7rgEA0Lesw1dH6Cp/EekGl6b8Rtm
voDO1tAW14LyVRC86wSqt0JNDzQvyrruLkFJFbOm9YICbNaIx07M2+bGMsz+NOqaLJ4hFOtvOmcN
6MiqK6USWfn1zdvbIWPXLdPH3MAxNiD+oZcBWyf9bXLDsr6IRVA3l6TM8KUfD5kHamZuBU4HFpiQ
Tcvqb7wpwNirUluDWIyq2JfeoDhzoLw6exJaoysYI6hdkiT4fjANGy96y/RWuDdwN/89xwT0lS2O
ofoXmpZCkiocs4VGHIc8AGx7fUk70wcluxuS+wY2HDrXvM9NMPk7HLkgHkCgcasPZR8juoCNr8du
1eT6KeiUwg6YZKardJg3UqcBaiSvTBBKfh4F13EtTlMlQBsAN7B4UEF5Fiet2c1CZVgXYRU06eL3
T7UNA7TTRXDSFBzOC+6m54d+o+nw3vBbo0jUZaY98ZD7sJNKFhOYGkVWd9dtV4nbwsPJn7//2vVc
ezsXoYUFh32NgtYGHjFC12y9+VoTdT4rlJ9dZvaAL3Ec1JeZAuvQ9oKH33/T2Lm1/ibwoUHXYDg2
TXB7NM+KjIGtVQX5pV0gtizbvEoWnrZ7IuMChHxZJ4NDUW/nTkTNNv3fJs16Umw+KEwUONmHwUnX
cDrb+OtB+w0DP0vDS17G5jKNanMZJ2sezCFVM6vKc9kjgH4B6mJLZBnnfKUToU5a0bPzzqIVcmgb
5bET8Sy9ByFPqBvYfb8qjKZwkTGk3DFFzqpjk1pDLX//9tbnPY755+ttA4rlCBzxzGBPewsUsmoz
M03PuMC1ly7DSitfYiPWGZO07zP/tA3C+DsY88V5N5Rgg+esCx2CG/5D8wGM2j7wQeXIo2YVVpQ/
NWYR8NPfM8nMLZDBhoBJtM4yglofk0MM5C2XVmWHqAo0vYhYWXigA2gRgOahOyrmuqlrp+pKdNOk
vVnLIAi4U+FsoUhVLBJWgP6YlOmXIjHTTvKk9b+2UZqf9EprWZhlcW+p2Ha9MvOcOo+iELQoGrXS
i1R22RaGuiqNgc58H4tIGoMH6i1pwHVpWjr5QiL/2u8zCvoAKFeX2ivvNEkN6logyiUOewJ7A6uH
QaLWjs6TwLS/eahmp4Fl4/PB7xrhtChgKVhdfXhi2FWfyra3Bxe3puEOUfdYqFLf1sjggWxTzeee
KusT5hFyVwa4jRceNzA4jYLY+w5pt6D2hVlp/FWnPHWLQpGTOM+KE1yK5ClsCnBRFDSNb0PhdVw2
JfNBh6tqBxT6YoEZEVdlm3Yz1lblHOMOg4fY5Nh3mhZ8v05DAm+WKlq5dSGuAs/wkYtxro9B1JDW
yVBkSVvz5M8uRcEZqURxa1JtLmoB1tRcWemwtK28minwdAzzZu3wMboOLYlK2h/KLwrTGYhGtcx8
0vjzTkc5LI62nfV+U9vzKvcCN9E0Pc7gVrCQGFgLVpM2XEYqigyHe2AX8NzsBsl04jlUG1m6qKx4
5rO6RzctxQyMmgolMoKZpOdUt0ItOsq7cysehsS7qdtSp6nsw6TPqqfACwgZvqnW6HgaSFHBVp4/
kj6NNK1kresafCM6Bn9bdyrCclg0otbeSVqFYSEjkuS3iBv0JOoprUFDFYknwc0nOoArBb9a5nkg
D3USt+XMilsfOVWisXcVlMji+XHc8zZw+y4R+txSmsKMar0cq9apQRbOLSOIvKsGlo7lO6Vd2DDh
aKzSeZaElZBJCcLLm3VNaDmGB2EqcBJ5KGNOrrw0dQJRtx54gnmSzpQHWsHczPx0cOzBhB0zIzGr
nTSojEQ2qvfVtQqNNJ3lfmj/MOqGh8hFOdGLkNm1fWkanu+dZpRrbkZO1qly6I8VJPxWwazwA57O
PNUM5VxUKgvnfWKl/TECn3jhmKRPQod3Zp8sqrAMDQdgJV+NIh2wCwduxakL/yHjKomQoeCVZ9nX
KE1FekLBDZ/M4kBbX4ZaUzqPjJzgs6ANFM8kD0igF17VFNktCGN6GvkDied1ARzMcp34AxgV3SAc
OwI/50UKJok3M2CpVK6HcX1aUdNMXN+jfg3O0AbgDLkC/SQbIjqskhh6tbk2MJC6tE+D8gSjkB37
IY/B0o7jkrphHnruAD54UxptVYjryGshOEDDMhpkWkSDcYa8hM1x4fkmsCt4McN9MOQnQYhbfxYL
FrRyfZ/EIhQZTB+flk7XhhCI0V1o/FXBUXa9IUNYR+QSD1k4hNJumEHv+qQl9aVViD53M1HqC7PO
QCT5isdAIFIKb8sLA5x9G3CSBadlnyZgg7fmEJ5h7es7FhFzaXYe2EM2hsk7r7OO05myhhCYr3GU
ugktY+XYrQf2YVh+S9oWNIvIj5pbZVrt96IK6HHDW9+bgT8BEZnZHoxjJnnUzbOqwZdDV1B2o7SJ
77A24I7WMpTtaNzzbtaQNAqPq46Q9iTjviJXocHFQ4bK9eSMolIteKICdd31TNsOKlvAJoBYROrm
CjbdM5Bg4oHaCGZ3Crtk5YLTqctPwBfokeuoquP4C7EzwU46FrX1he70WvkM+u7aBM9QN8vbFL46
z4ehkR1J9bBAMV8//Jr1FvYn4KtI8SUzM3iKujThVQVxHg+OiBtYOkUCrvybrOKw5KsatAIfrsGe
SiA6dFVi1leZpEUAEZ+grbr6IjWCQskQ1WU376A7DZ31TUnWmwYsJgeeCDaQTuC1nqyz9AECIeLU
bsLQlnZgxjAvet9athkFNroq6r9Q3SF15oOaG4FrPIujWxukxUJlCF+Wwi+/QfTRKmXAgpCc5rYv
6jMvyP3G7Stegr+Z93RREHitDuJl/xgnsXnd1Qrs0hL1Tfy1tVKIt6WekYKvW6z3kLAEFwHYATad
haQP1LywUvHVQBBRS9vCLyVnsM31VRt8CXOtzkQaR6ZrkoqAYyYxwRJvAiIeqsho/FlCMlgmg+FR
ccKyHJerFDbk/hROPoa10a537FlkGvBGu2ZoZiBk2vIMVzV478DboRuQtLRBoHqX0V+VaMSd0YOa
fjoIXeEnrbJeQUQI8+YkbAkM1aU4GBzW+pZ/UgAsrWPEEK4aIESqL7qeJ7dRo0ppc3XM0q4xj4fW
AnBihNWwKJI4zy8yq2PnhkYsnwVlljZnft8WEDkwVRrcgSainpDIYBuBrVM1Mg5UCxG1trFLkAJ9
eZv4JQ7/xPlA7UYOoIH194WmhoDBlFfNAm7E/qnhFe33wEdG4yRcgdskBHfpTacMcMNUdQlOxHCo
YZKGREf0uouTwbxMrSJJZFk0yLpgOGCd04N2o2ZtUABqrZ2FvqwGnsLeoVQywx3tKrdJwMmyGOwS
Zn/MOp+7vdcjBa55ZZVfW7PHd1FQwVwDSQeOzMRP1XUmMgwbLClENLfTwGplV38jdt3aWMZxw+9N
kpWt25q+ZhfMS+zmS+kpUYFwhxk9K0IKaILh0HfnIdVxfs6rIqDXpEOJdeJ1OUQ7wq4z/Iu4MorW
TZUHewZoY7W+SBJw78lKxP5cBXYcuG2H0ElfMlj3vWXxUDIv2JP7/yJ8rHKV/9Bj//9b9/+//w8G
CcDQej9I8J90+ZRXbx0wL8kW64q/n+6UddoEdGEips2ghh8O9HnjToEyEQLNMMEzjyCIBkbLzxgB
pEZAljJkK6+LCsDEfONNga5OGIpLwRKE/saQNsE/4k2hz+b+W8sOmrxB6g6YsRyDh8ZcN7l/a3Pk
hTnEZu+pK5TQuzhXt0SZZylTN3FXRBJSKoJTH4FKjtlx1EMwOI1jb+41FoTMu9qTqCxgy+shzAlC
+gtiw+BALgSWLYNIqRrwjUYlmOICxsp4HsySqMAnwq+ILILktuJZBLHk3JY47y6MEuUyzcCf2g6N
4Rid6bmgakWzpAHvY6Xb8hJl6R10NjMveDNk5xEhWuYWASevp/wZSfiCKeGDepC3jhUEvhyq7C7I
bOomRgrh60qdlIU592ztz1QMkpyzdAX23gPoysba13mcU+PWGGIsvVJdDGuxOJj+d/CFRbI0696p
8naWVScRPsc+fWqC5f+wd2bLddva1n6V8wJMkQQJgrdsVqtesizphiXZEsAOIAE2IJ/+H7TjbDt7
7/yV23OSi5RV8YqktQhgzjG+MaFJOsT8oFTBs3ka0fuuY4V3pG4y2dg681fT5d1Svc6r6hI76K/j
MJ+8oZsh9eMX0lNxNJrdLE7UJYvMnfViHLyTDdhLWNGjcqsgiZfQzeIovNBc35StBVYxwY1X1ruu
qW4gy4+5x1x8JCQyycC5OUY6cCElt3c+n4Pb2BFfrC9vjWQ4ABsC+d8T3s7vlZ+YaPJ2hOox7wo1
5E29cQg1DFvtsgu/FMdlLIMk1CKrmLyztakSdx29vCdo2ZlZloTG6KUoDtCc98N0zweXpIUXf+aO
qhJVdvverU6mjh6CeH31HC737VIngzvk1STiTPmiRrumIZYH3WF2Jx+Sd3/C3VngDHS/j0lbpXXh
SfemCwZ5z4oe31ibpKvV9RroL6Wa1dGfnBs84K+xKlWiKy5PovaedD9davQAmcMCiFozebfz+D4B
wNiZwcLRNqw4oCx/a7FEE4UfJa1LWu/KebwPfW7OLXNPU1U9d2t8XntvTUMl9mp2LvplgRXkMnc3
8MJLVF3MiTbmaqhWLJ/pQfDirRcRO0iCRqhy2vtiJQJF1vi5J9Gx7gd+YKE6Ia3YgIqg7Y4ZeaQ8
/KSFK07TICksrvUe/8/5op/CCXWRUrASqE6/1cCTRjPjxduHZ8mSurSgmVcEn42qdDqt45gYI+XJ
+KNNrRNFiVjKPmlMA5DAGvXE3YIfpBD6pqJhnMykz6xcvB0b20fmw1Dgg0DZUXmJ8RXscdLJvGiq
ESVQXWK1D3DgSyUSVVEB+Gc8uitzjz0Tx8grmj3Fz5L0lMDM2FYpw9FpqmFNVC8PwQDHxqFZpdYB
LepQoY50PKy0YEhRIttkCUSUxdxkQ+ChycEfnCC8qXicKDN98mx1DvV4UmS5igN9P0XTmKym3Qun
qBPZwkWTtXc12fFTqUKZNIu4aYPxtoZbyGpQSu36ZApUYjUk2qRV1SNkjFNg3cNizMPAKFCnUbqJ
C2gCpqG9qE2fR65Wu3ZhJvG1vSw0ua3l0uR29vLI707+OMpkMSMcpuKl5N41tKIrSFs3fRX18KnM
W1GENhnr9akRhoCLYCxHHf9i2gjn+1KIZPC7ByWCs3U6BQgBTw20zKV+JGMVHsqASrKHyevnQqEL
D0uVfTu5ficSb77v+d+Jup/9+F/O5/+FPv82OP4vj/AG1MLX1z+f4d9f9scZDr5xm2fM0JWzgEQ4
qf+wRDCuOoK74RKcrb8e4sii4G4o3IgdwPCHm4JX/bBEMPAHhCJIZ4qU+Dc84G8Y/ajY/yRvhoCx
MA8QbQFUA9wo+Cd1mFnexyMT43UFa/TEmji41NKemWz6NBz1I23brK+G+iBV1KzvQpneuR2xdS89
qCYoBM1tLDoJEGe5HXhwUqZVu74xZeKtwEyi2nP2ZTMFSdCJHa8ncYR+5Ka8wxpHhc9FGk+93LUR
HNf7hXfPsVhU4uCgTiI08VjfvglOk3XWU9hJK4p0YUt5Gps6W/zCOQyO/uCxXOEquMV+8RT0Ta+O
j83Ip8cOma2zj135khEJ+a6870Yiupy1i7vrPFZmk3bcLJpimSmy4qxvSj/xKQoB7cXnOtJD3nMv
DQd/2IW2u2IhHNKJqHg3NatNnGKAKiDkfNCzufKMicE29s965heLN+cCGJZv/Es34Od5HbBOq25M
SnQz8K5ZOo9mzCUAENQgzpDjm/GPYlb0BTb5VOz6sBcJZE0oTsJ4h1iPd6Im96xy5XjsqHCG29KT
/QHCZCp7QQ99uBh5Twc3hu0/FtGUkKgI9sSbJxB3RfhRF+N83DLu+1HWdba28mapzBWojZNsxFXv
+mc2ODtl5pPT0kyt6BZ6mbgVzq6y+zpL/64c4ud/Ng93w6ZdOCF/Uf83XSnf/7x3fH/Vj70DADxG
wYCMRqkPgmKb/PPH3vGtNQjxz3fTFBvVvxqAGPIUcUMSIpFIN7Tnx97BcL8zbgXFbDhccYOd5e/Z
qf9mOqD5ADKNHxC5xwDm2Z8gIa6juaoIa64dr3/mJfCadWzevCU8Nl4rk4quqUFxGIVt4k7RbiX8
Il76q5kB2i3mtj+2Zd8CU3FSHY3+jofuzlXkfi4nP2eRGtOJLxfuUGTUQQG8URYl87u08ZoLEfZN
OjngHGrz2lLLk9ELvhZ+adLOaYH9hvZs2fQVpBDO0BoLEbtwTpcpTLxFrjkY2gZMRmgBSwDdicZ4
TIPFpemg5LKTarnxFwAfPm/Oow1Jghb8icBOyaCMfFUuPcFp67Legs7gk6kBzhJArXCfZBTfrLH3
eSpWjlUOvlQIZwatN+BLWgHa5J2ftC0vkqg4Ej7slkgVQCqxY/qzfVwFvxwiee6K7izwO6HAK3XS
+v7dXNbZxHmb19K/LDz/oViaAfvQ2KKMBsc9mAl2TQ2aCLT9oSVLmRas+8xC7aTUXfjI03DqS34/
+FX3AkHwcVmD+Twwc92Rwewbb4bq3+sXy6H6yHrfdjNNgjFUSTBjTx5J4SeiYJeC+4+kRyUylvO1
g1nQeV2Pa+aHK8/XGIIb17Gzd9R4RxzxNWwKtYf4mHqQFM+Kvg72FbrrLujoq1mI2o/a3QOo47nu
5lY9xp6Q940Luum95OvX2Yq7laDgj8ZOoe7SgrFX7VVXBZ7voztI92AHX137uoivg7YwpyUu0iDG
zjpH9DDoBU2HcMtUBPFyRaoVWkep2nkP2+bzLOcsKltxSax6h5TjH1zF4z7RoG3X70bi//UiaWMY
/2qfO79r+e+73Le5/r+HQzCVkiKOF4c0YrimJwZ18NMuh1FIQB7hIGOi+LaV/djlQvCT21jD7boP
bHLbnWs/drkA/GSMpjUKQ+qFuNH878gc35zTX1QOXEexBftBaLi4Pyb6E/QQeR13oX0OV5FBV1lP
pYZKIPwmi4Dg76OJvRoQ6zuIAwL2xFoFDgAGNiL9EJV+9Vz68I3hBKqxPwYYKtWm1VjNbt454Rih
K9V6vpFzd9WRunxw9OzHiSBrtKvMam5ZI6oX0oTrLaRdvu/cwvdyHs8KoJdUTQnAfxW7oTeGZ31o
9WZ7Om1Fcg8eo3mGxlihU7XN6ts1IyM1pdn50pbeqW0hKtzzdalRnoG39PNBcY2GGYZlGUm+B4NC
M0gWFRITS5/PfeHtp5p6kJbh4rkQDx7XCRvUoY4XuubEjAtHRRavNm9GQvvLLiqcNZcB/OGj2630
clyMUFnnK0DnlOpN1emqnEJp3nudqIf7mjTIAKAaaa6tT4W/7yN8DWtNPa1zAG+563ld6cQKFR37
xiNu/k8p8r0UwcL576UIPMHhP1UieNGPSgSxWdyStU0NdrdJF/RnJRL41iYA4tbqCADyNnT2B9jl
/gYREuEs3PWxyY1Iaf2xRrd5Cd9aD6Qdvi/6v9HFEHBgv0IaCHBtF/Mx/HRomQCa/CpFTp01MGcF
uTY2cCFSTMd5CfrMqwjCELTfKeIjKzUsnyMQspnhwRdN2MWAHjkLN/+lsiiUBy3OA0D8RLoSeLOr
E7Z2Y2bNdGU1qOMg1ipVanxbYvksSp7DFLyrg2ovl+HkE/+u76BVVv0yJjG6FrQQ/oVsYW9yJ/pk
6lilTdwOcEaKT6uqPoewfaEbrTaltr0OObn2ZprHvTpFiL3U4UqO61SAlq59lk7C7oGI5T7rPtBJ
3Y0zD0+SF3tg+W+sXJLYrAjMtCqp/dZPCCzWhAatzEhXpK5FLRV14nH2xpfaTkEqanFAxEYmnUEy
rRXw6gfoRmnZkau67U9NHZBk1vqjn4SXWEdB+WnYddlqKKy8v67CqTvZdoCdUUK9jFpVw7HR4Kdd
XlwZqtwM0tlKEVNaP5g/1VdTEH1ZS7y5XdGKWx9mSSKMfhfoVi4r1RzD2IGY4XfLXkjDrk1p2zyK
ZnxqowgSzQee1mA5YaBKkUBaovtyQtVHNbymwEb81uUIsqxdxZOelw3EYMIToBHgiVvCc3dpqgMh
tsmdsvT3ldigpxUID7Ww2CDXwKkrvAwxDRQjgSl3AVjmXTCTJtft4O8HZNtySaoLdFzndaiua+kd
h4WvWdmyj2IF11FFbZA7piTZMi5V7hXRsq9HxADdCnE3EM0LWrw+3g8VRSmIzXof+zC6Wq5BMcEi
vkPBwvbjdo5gOEF1cN2iyKapIYkhxLltcFIm7YrftLeUJiV16Y5xZHuqZUbGSvEud2A8w0mqy1MI
6W/PffGw+OZmHF2ZC4ctiRq6N9UY2KiCAnZA7OfUxSjkuLfBeuv2FpW+fJlNWH2ScNkTI2J5WEaQ
ib7lKgHr7V2HDOq46FZw8njfE6Kd8cBmlFViDiDmR2P5tW7LCG1jVOQTb52DO1S7MWzyopBQC+G3
JW0sdQIuo00gro6JU80s013bpHSq6O3q2dvKjnd0buvcgHYv08ZvrsDpDAdYuR+DXN8Gb8LJ1yEC
2cSNvixhy6XE0qzRPT3SZQba7ETTnhUyuPOd8bGM1eBk7jCCNxa+9Txw5t2XGT9VtDo1jG0k9QwT
/d4plwfPmT3g6Zym7hSfJBIA+TwjYxlPI4QFs4DNhlsBRiIvpXROToBcAiGfJsiUKSSNh7avTlEl
b+bIpI4TXZrwpYj886jo9AR5/32mw4UNHCeRqGQzNo/zxQgm4xDHQ4X0AZoGXrsXPr6b6MR5moKP
HghD6q3NpTu7XjLF0ePKQKCV1cpQ+LdfUZugp2rbo6qWWzC7F4hWAJkSE8lky8BLlx5s+kmEmV2U
TaYSqq7GX5cGDVVkSLhbFnyEXt9ejw6/b2zx4qrxGYk27IJuN2VRrc/l7L3amlIYIATEk1F8540e
ZBUCbC/Q+VQZ+CKr10Irni4Rdvg8Ig+cRU5wg2gkS1QbySMLQ/zNwa2gaDZT2g3qPFbuAW6nTKeg
2FWu6q/LeFiSCkRL4tg4G6x+NwXdonplBuCIPkPJaMNcSXsp/eGLCqKjHMMnmJzhsWyRhdXrG9As
AEjKHvBLNzvhA5pCfCtraHQlKuwysXKgxyKrFjsqmZR3cHp6WOYeTH0JjK2cbxEpvmh8A0eibN4G
Fh8iSa483u2doN9zgEf4TBHt9fB1+CpYWaamHD9MGd2AZBzySS3HYctRjFtGJqhvAYs4OAvGtCHL
WQzNbYsIhleKhwb0q6DyEG0ZjRFhjaYcUjj1OpGFiRASWw8FYLiySZmLYKxB4ANqwXsxIleBc8xZ
9ob5hsHfqZuUU3nnllr/Uxt9N1zJX8o0N2ifX82/NzDbq/4ojqDFxNBcMFZkq3I2x/WPBma7ZQNt
DfjbbwIO6pZ/FUcB/hMyVlGIqxg2M/an4ijE7TthHPre75rx3ymOvnUov3QwQbTVbPgpGDRo3Pfx
a3EUAL+VpFiwczczhNxymmA1sr6+rIomDbY2Q6yfC+Se/H5o9jMHk1IK4B+iSELF93HRQHxBXFQP
4IWJQi4KAQzMXjmPBU9pa4/EGoBch7BynhXnCPAikcqvvSrml6oEsUTDrRvyIJjWBtQDXdavzVbP
L2NYAzxgzxFoB8TPnQEn7vC8qvYw+8hOkXC6KeeB5L10EP8i7nmd7LIFUy63lAFo+eZROuMCyMJ9
LzvzMa/+V+Z08JjGWqSIld+3zGKJ2+B5XpzPeg1oAkgXdiRFSbXGV5Iuyxlr845umUgr2zWxBcK9
mGSAP5iPsBgD/EXzBVBT5vnK33aHMikK5HzA/vXJqsgXt34KlxsB9guuHvK9sz7QKt62h0FnM0El
moa1a9tECkKGrCPLfNSGDPGrVwbFlJdWtwchJ0jhVtYHt0S/1VTOmAyB7XK3QEoKLLzFScianbss
9ZH4k/ZSWoJlXfg83IqlR5W2Nvp2Qp4BNcTU44hq8FahN03MZuiKHpVRK2toTz19Uits9Hms5zzQ
ATZmhYDMsMWl4RQCRYyLcE+jebmFnxEkaFjdrJqnVCAwd4qbtU2QlS4vi9CtsjkezUnwKdpbzdGV
Bjgfsx7mL0JABNGeevzwY8X2vejHtK9hHHrUeZtglSW4YQohua3A8XqY+SD81QFmyDs25DAZe1Ct
ssOjqsGgNe5oUhVWzQ0jvM49s1mczlLmsSeDfdCgwqsnE+5xgL+31ov3oCVF0gPOvIlWxU945xAF
Lmb5yhQwYX8p3UMBWR4fmIN6HwVqQrwBMAxYeoh52pFvHdhueIbwA0xoIN0zR5/nSM1nPo9olIWA
sYkpU/tuoE2ODy9IChN+lEEEq2MRH54TkL1xF0fA827Jvoo7ZOIZC97cdhMFUQWjFEKZxFuNMrkL
phwygufgp5SwNyWEVKw5wMeV7x7mtZZDLiq2urklzO7iKdTVR9Oq5cAwK/oW/FcPJTMy56FYXX0m
SIdr1z7AG0UE0W3CBF5yvVNN/7g4CNq5awH8AUJCboSFLGieHd5/xgVCiLqzGM5Fiz5+asHmV27U
gkmoHj2pEMo05csSrwiHCS4ulpFBbOygOq7jLWZvsCSkYFWVjPpjPNJ30UwvowuGljOEWmLnY64G
k4ayfCZOdWoCYNB0jvYE0Y4UQc1tE4kv8VYcxzr+UFinzojnYmjZg8vCm94TJyTpIhRN6ipygy/w
aT5PjWMzT9ubYdXsyLQ+qNXcmzX+BEekyF0ETNJ+3EoTVLhlUS57AoM6raQNYCzL88xNqpm4466G
4cSLLhnBbZ5Dd321gCgxvME/wKo+1VFxzch86ViY3QsmjGClQJeVeNg2FFomgYzLN2AO8oXWQ3Xg
ZCqBiIwksVuVjdYa8w6oMkmAFGVsQuxZ7ihzSvobIAH3dKvXq61y5xI1vN2q+Xqr66Otwl+cge4w
KIAmhZr5bbt1ApBy4MNti2fd+gS9fdNh6x2qooz3runKu2brLFAYAHjfug2z9R1OaON9t/Ui69aV
VN/6k61TsVvPUmzdS7n1MfHW0VAdfgBtXrM6WI8Lmh4XzU+LJigc0Z2R2fX3ZOuQyNYrIShV7kQU
on/aOqlg66n8rbuqQKKXW79VbJ2Xv/VgDMb9QWx9mb91aM3Wq1EBCm/Z+jd305ogzfLbcOvuxNbn
jVvH51Q1gohbF9hv/aBsmyDBNvV75OMfpXYzkP67DISZSK/Tu/5P1c72wp+rnW0eE/xn4uJfKGn+
qHbc33AvAbgzXOwK/mzzg37ItbiObLuIDJf7AsT91ZSKfkNpBCQNFtcWDMRwoL9T7WzJ+V/yOiFD
BD5G9wsH3cfN738ytCVnOFImpq5djDg4IEK+FxyeCALX5zGaFriuvrmwI0aaEHcFF2HHG1kFUANk
+6Yx6SQzjjmA+wjzmOgl5TMlGJEj+hQ6BM4QZ/YzgcMgiXq6Zggktzc9KiYRrkBnNCGpddczSO4L
HQYHpmKoC47Y90v3uWBcpWvPLle9wM5Q9XQYm+HEW2wzdRCeVlZifE0QXVI/+MRDOMVDyW7jOaoz
qUvQcPrVDzGXg4X8cWrDLpkRrEKUIJrSelovqYw+2wLEuUfIU9yoz9RO57j2LuaoeXDC9nJA+ByT
J8QnqQv0VR5CIsW8jcS4k7Laedx59kub8p7vAN5FcO66CwyRefIZvSKirRIR2v1kAcXgoXgdGuAs
0uKQdaIhL+kqMOKiaTKiLUWKol9yxuSI031akBNqrzVS8QitkIMSmCQEkupqboDe8HX29mE97Cra
AxCbKlRKnkwdf70hBf3iD91DPS47ELJtQri8sQHdLaI9lgDOkyIyN3SMPom+4HkXLE+0hIlWzmGH
YjOo00aWaofxMQYzCSKoe+uttjLaeaI5Wa95F2sLYHnwP1GBYko3fpFSFV9XU+RfNUV0sIzf91eB
OFJQeQgnnelSVSlGS+7KaIIn1gMmHtYqH8gwAS5mT4Jigx176SeNKvdwQGVSt+pLHVGVVQN8KL/3
dg0DKuxCOxyWQ7nAmG/b6k1r8h6F/jvER37gfXC1YdZ26jmicVObV0sTPBLUkBlieuiwi+2M7U9t
SI9N6CG7IHaacSBdiLXki7V+6nO67Nk3x0yG45DPk3NbdvPXeK1nnYYuuAoXfNzaBwaYRX8KnN5P
ezB0Md24LL+AOs8ilgUBO/gbdqe0fUXg4qF0VTaZFgcrGA48uniO4s+KTCQVG8AHlavPy5jbvI5Q
l4NNiqBaAPnDtAJMrwqbu3hCcNQvMNkFfKCM6UUxGS9pN3Sw4RXWRdSMOB86sGkbYojLwt0d5ik1
qQty+7yARCxAJJINTRzAKLKttt1CgkfMUzGJGGaQ6StIswBsHEZMXSuFlYIzwyYAP24KkJCidd2s
2+BICkqykfRlADVp1G0ZBF2iAVQy1hZHS9WVLRqMjAB0Gfvqa2DQB/XAMdug7fKoNnXmWKfOUPyA
dg03VrUPeSZWZw+orlpf/A3z1BdVdTRAP0tMLMJkCzwGU1u8Lhsf6i/9ZbERoxLoqO2Cg/SEA1lO
PDq8fq9HLBlfKjzbAE9NDLt8I1Fj5ACBnzcPiON9xBuuyi2eO7IRrEryPECDkzgd8LiJ9/LC8W14
6YF9xcih/spOiLcggFblUbwWmd1g2bEoVMo1AFoxT5eTrhnATtRdTVzeC42nOQy4d9RNJfKgwCeO
0Auio8t6q4qOgvLBNADTTmvageIlvR4hZmJhibUvMG0IsC9Qk2I3oXzIVD8EB4HPa0ODa2TE4Cn3
t21Azg3oYbdwH4oNTvP86VRsuBpZV1smRmldXXfW0091HJo5p6j+q9SM1XkcJ7Apw0RaH9xlIUEq
leaZxVwEF/9YQ9+tofAvawJIqt9m8Jrh9d9FEBev/aMswPjN7UpJnP0epqGzn8sC/zdgbOEP6nyz
gf5VFniboQSlw48wHWCb/vfDxcVtZx60QMBp30H2vzfQxkXt8WtZAIUFuPpmE8GI+la2/Ayrx220
xhIs7HUzlQhpprpX7qmxXnCSMGPQEdD201Jh5l1knQsmscaqsMV8mYpmQqJH9IbqwfLhXDN7P7n2
YinAdXeCxgnyGwjilCvyjcPj3C5XUUuOYUmxJAsFoQV4hbUY1zHS1IJ5KVfsKS00eIzYiXGGxXaP
suGDMD6k8zfcqqyXFGEPP9e1A4WBBbuxqhgmrUDCxKiU54UC+TRNsORQSdvM1d1DQAHtBqPj4/zk
KelWN10wjS3gPQbIyeJzE3vZ4FNA6MZkYTm/0bFGp9m3WehFXwCalulEyyeKLBUqagpFhyFYhe4U
icEnyoM9izoU8DOBsqOdhJgWtf0UZpNiB2OBCC4B1FY4Mm+LKt7awV67SvQYlTI8l25cpm1Q7+va
HmEdyJ1nZ53pCbIr491X7mKsmvXkU4f+Hps0FGtM4nqnhb9emXp5LbuwOEPNRmQ59NsEonzuSObd
+XCusgCBVyguAHIVhsXs57k+e2E/YQtALQb1V2NMVzWlaxCV2LwitWsW4qYN8q85E9iJeLwCbPGl
uVxcZrMaswp2DNx5VjTOkg6Q+xJtagHTCKHcxS0xiM015RmnYLNHnzzc++G0PiJzIDLlIshWm8a9
BJEN2Gmu62elQQdDaqdPODPbO6O9/kZQvzwytKwXfVxgJ18adULQTMMFCYLqAhpFt+Us7cWoMekx
WVu3eLOsdBiCQU5/lL57W6vYy4WYu09Qg4JpXzCfvjiQ2z4ChtOz3ZDCeVjGvAZluLQIOZgNPJw2
BNFoJBjBJA6YqGLBKPZgFQ2YRYRN49Tpxyu94YzFBjZG7gTseIMdow17hBh1FWwgZN+6yOJvaCQY
SQR0eVJv2KTcAEq6oZRrUHuZ2vDKaAMt1Tfm0i/vo+8QJnBMtYGZMMemxxgx3yPFRK1EbACnw4By
GjCddoM7kQLN7IZ7/rOZf9/M4Xv/9wYve2/+5wqP/H/y+vHCP3Zy8hsWPVo173do+acGD6PT8fBg
atkPfvDHTr4NcXGhwiB2jREJ7gbd/NjJcb0RYqSYQQFsgOAUwECzv9Hg4Yj5ZR8PwBoCKgBTDVg5
CLa41M/7+FCMlWlW6d9IWDtuXV5EvE7JtOQ/vTM339Xx//lpJixuXfvlG+E3AfSzHVnoZjGfAxn+
X78Rkvs1nM56vgFlVB8HBEWDPFzHU1siSad8XiO1HMG/GdR1vIwXfd19inyNXCvSIemM/Htea68+
TzqMM6whDLFYMMTSCbuNfdRPs+m6tGUCqO5m0QvT3Hf4hqnfNTfKLTHPKJJIHPZ+nzHkPVMCVQb2
Lzv3rU1jwAmpRLQSMw4pbO1a7go67TDxZshG0IeZqS0E4OCzw6LLOBjjBL/mkwgalaKDu0cFeee0
9spxwquhdDEMcIblhbkvRyRBMcax5dhDvE+Y0dRgaug0Zf42AWqchlsESndzMH6OmX73efTC2+VZ
b31UPUYYL7aUN6EuzhRhyR0o1AONC703QuMT0vqTovxQMsxkbYQ4gwN7k7Ood1Prdtg2QCs2ynaQ
/DafGZXszhvWF69tt927ug4YNuYFOqbTkayn9csYeZ+0gcFg2zFRHqb19uMe1cQBrZMDmAEp/xkT
ZBFFQaBf+OG9s3RN2g49w3zHl3hAC0NsNkKWTswY1AkeiIxtg2E7U+3RvHywBc2kS8NLZxox30qC
pegxJc6Llit/RtR4wVi6WXjlrvaaGyR7qx0h835tg0vOIboPXrCPJ7y3YoZo5dBwyro+fkEJcgB1
cgeldcnIah5LimQQR8ozIUNzb+bx6IX1lGnifnEx6Tjh8/LYlGW4t2S99i10byOqCYFU/dVr/K/+
3GB6h/UOqomPEOs9jIKb94BObluM7LCRohcRWTGNtpFf1qp7EpERaUvVA4awYaBlH9WHeSR7kBap
T4odPGXkTfGIIW4UzADarOhfZQU0bLcyZ1jSkFqdeK6tS1gPvkbCGZllmbnRvPPYvBnI2p6aJkTW
ZfFSzOw86oB8nd34WIbeblrRR2IqUDc91iHZbO7Zc9ckLIHajtYrs7ryjwSNkAdiZNi6ZNa/YpTg
nVc77yzGx9RjPJjC0wiwYUI9ZgboynOm5to7Om0IRGOeLpjGZD4HFVZY1vCUzVRuaYD5mVaRyS3v
LnnpFqnpLMYXbgFvc9FVQGsHc5jn4QnzS9DjxBjxXLnIwavLmmLJElnfIOR3bhznuDYQ+6F/C4xm
XcAOTeVXOmMqSTVXkHtH7w4TF/ZWDe81hgymdoTNT7unWecIIB5FoBG9dw4LjaAwuy9ruNQprBqT
LM1LE9xPswFwMZ46xZPGwZA7qVN/h45VxMGArorkMwkOk0922hOAW9Zu2pOoGnauB+SHT8GLDDyM
P1BzVjhaA93t9qMnrxc1P2tVAf1YgkfMjWKXnYMJHw9becQZRkQflN96zf9vG928xX95j9suiuMi
wBQ+qIFARTdM8+ft2hhDgv/H3nntxo6cXfRV/hegwRxum+yoVquVww2hyJxDkXz6f5Um+JzxeIy5
H8A2DMxILbWaVV/Ye+1wtuezmH1nZW7Dw3RbXe7TfqW8lo8Mufes11fhBSC8IUi3xv6vj3Gp+/qP
l/cc7h30VzJB7+eXb8PBGhV7WM6j81qHe0/tgTS/KFWx+vuvo6saQjhdEs7UP9CcvJ47K8Fof9aS
I5CrVZ5/etEeg8f/eJ2fb79f3k65FEZXBzMNU+LPv0/DiMYatFg929ZFa6Pbpmk3H//6d/neB//x
Tfvxl/nDiwyxqnY6iu7zuOkecDWux5364QbSNnpZ8Blb3bRrRGMbfXd/coN8dRovk81Dtw7X1+lB
rHYU98c+4F8Mqg3/XT/89c+n/2xZ+uVNkF4lUvQMZMPftoQf0Fk5sCCIkqp2Rll3Am2+Vi+1R3Z8
TH78IZhXh2dtO/mnZiN2luUXFzA2r5EcbVDh+98/yj+bAvkB/u+F5Dr/v6Bq8a//yUiAL/ytkMS+
gk0Nh7hhcnP+PBLQSPPQVXwoOhEPFJr/Hgl4/6KGNLHL6QA2KDR/GAnIJYJuMhVA3M2Q+e9tCkxp
ovvhcID67/J9OJlUgP8OE4o/fM6bKJwsRRvxr5vVg5AG1pHlnkLpu3LSrj2DssLmymX5ZJl173sW
iPnegTzvsh2lSRlLOM+IPSH3tVx15iMjQSdowZL6NUCxzUKQwKaQ0BmKotbvzaFaN6E3+ui1BWPB
hbA27nN67ZjxgHPv4eLlVik39oIz28Hhy7MQ7Vo8v30yPYaSSD2m9W1bxTinlcTbaWr0XuIYnpBG
IP47VWpMxyZNxWqbapvZgj5e4zjORbJFIrD4FV5kpsnPYa8fervugAFBOB+jfBM1gJYGgYGVnd2b
zehh10ubcztZ88arpk+7sj/R3acBmsAh6HBHe5PxVOpVeaiHvMJr5r6C/bqOpaWaH/PdK4urzEI+
ZoyOr8R2BdEd2umao2ebaZhCLBwgSLw2UYUUKmTyuVjFp51r60m6Raq83kLI/3BacSPsLNoxRyBX
YbRY9YtlCdJEsdeDMl05sTBWCZ6UBG/KKE0qeJUqNI0w70tpYUnxsuSj2Bt2/wLqBtaHtLsMDGYW
aYBx1fnBzVEgnqeOZrjuJwQOOVeid4yBxy9SFhEyqV93KWKQakImZy75tC0S9jVNknr7WrLojUy/
R8yFKgCA1U5349USZcbzojqrulh53nA32Hl0ArlbH5Zv2n2sZLvaqtYiVW805tQUGS5zdxYWq0xN
HuQiA10iAH2EMWlgRAgXarueAquCy6Yo1TlKw3Blw+DHunAH5IwxdAokYKAxgtZvDiVvMQOiMJ0e
ayv5cIziGLJDXZUS9S/ansW+MryaMgYgNY1nRc9fKK9xSEXOdvbMivlWutNV1iAyTGAiVUCR8QLN
4m7mMgsmogdKIgjs0AGOB6YSKN9tsZRfqkwrgEfGBlkmGNQZ/KaRUAOUH0+WjtSQsIM87o8z4Qds
x156rkuaBG/VwGhviElQiUuYiE2YBej1JtQfogJkb9yGd0DZLvqUd6jWI3Nj1NStGUEMJYEMoSPu
WUsuqzzKU3zrlNRAuN46YhxEm56iut3ooUQ8OOOV0MwbQyY/FGFy3RIFgYXXN133EAFXGGxxgT3j
LZr7B9muRKWFfNm6iomWMIiYqFXc8Fk3P1noH7ZppBSrLEGTxzGHG6xBuANWalqFgMV87CJPLdEW
hjdeZoa+j0m9GGT8xQi5x28Msa9lNAYfWJTRSn7DAv4N/hxaw4xAjcV2t5JUs0YQ6K7DntgNZpfF
BtTLbpGRHGldpOCfan/qsN/rbMblicsppVXrzBzP1UAHgqxL3QxkfkQq4AEN5rHKW8CZdG3M9mU6
eO/4aCRv2L7XbfPSMJvUN2SkyDjXzLXkEdfGC94z9VYnfySXQSS6jCTp0Kp7mpXvCvY/mowtiQoC
TDCdPA5LdKup5psjI04i3b3E+Rtuo0hRcLbkN5qD4hw3hwa4yXnToYKtNRmbYhIHMcsglSLRER65
8yZDUtn2S3ibNug2kla7K2UQywDl+72OlZMtQ1pwrGKPSx5FPF61XrwrLPdroQRe96w40SqraMeb
GvJoZykAwruleCwQ5UeXi45mqUfPRtSDdWG57Z0n/fStdNbDbnyplsRjtTga+JuXJ/IN4COO3Zvd
K42/DO3ZTPJTjGXfwLo/YeHXpJffKNsDlpt1Fpn5euita6z7l4MHnM2WJIAUJIALGkBVGFG2khZg
CRayrLfuDEACSchcGrBAKgkDGao+fprlyZPwgWZ+KCxxXYv0zOeBNwFMQQGuYLEYZfZS9T6q5ZYt
90AD09+WQA40uzvAErww1em+xFsUAkOwgSLUHukDLv9nkrwEJ7dpyyRDwbOZ5CXIM/xShb3AGRuI
pN6VoBdayWBwgDFEqY3kR/IZLElqANcAs6FO94ukOCgZ3K9vroMkPOCM0PfomZPAk/yHSpIgMrWF
DS/pENHEmEDyIv6pyn4Z71Gh/PeqbIMIuvyzkoyv+r0kwwFsU/gwjwM9oJpUaz+KNwDSUnXZKv+G
ZDf/tqVxSFYDKcqMSI7vvqu137Y0FqACVBuO5WDRk2rVvzPbc6Sh7+eSzGPd40E1wmlHZW/8oV3M
ClwOUx86J7Drh6hvxvKyF/ps+2kx1jWsvmQgVUR0HeTFIpoeKk967CuvRCbfp/HzZHS3wAbnIO7K
zBf9sGW+HdCHM5lQS52hdE7cipe+4d9OeFCtZD0rHYQxOGA4mXrmJGhYRXGDb+dRDJWWXfcYZ25R
Zu08MWFZC5Fv8yRHaqKcsrB00SKNDR4RJXqe6z4+h2Gc2Oc4n52zVboMW0zQ/MbKRupRBVZYqOWd
DfFyE3JOiXVHtksPPrWLk4eBixiaaCYeM92LcSll1S6J05REEbW9BI14EIN1Y0XmjLK0fFCX/G4w
kd5Xcf2uS+2IHQ+sXqAytH3KeWa8xRIR1yrmyR505CDTwxAnlm9QECqjEigFR0AkJRNmXWuBOwPu
6UrHXGtm/MiG3mVOlLHEtm4zV1ylyLiCWUk+dM+5KwbzUzXTZN0VvCmW2187Rsbdh2Rhh+AVYX1U
Zy+zAdMuE8lOXZjRNHLUVuTuHc49fVOVWcnGoFdWU6rvYszR5Ti2QSGSvREb4AoKzFHAAaWkNivX
etpAslTng1Hr16HMQIGIw8rB1HdVxqBJdzPhe/Ok7+dRY0g4qB9q5QXu0BWgPa0QOUK3LUrvNYqr
C9tzLjqDwIXExYJhLN6tE+JE8CDyTaHyQWrMJlenPQ7sU9RiVsGEFdTtYu+KUi5Qwvqrr5jM2InI
VoNSvIvYm9jjlE98pHvI+KOzs2Xpz8frGj1Ej3a0OvWoo6kbwzOs0msrAosTxdpNWCv0rNyoK3Vq
LR9bVSeNWkFsVU9DqhOpFfWHnr9g3w0beBDJdrJQIdlqU62X0twX43w1Ndaj1vUnr0/u0h5OcqJ2
D0UU38SgCxE6DFstspU9h7YBQLC9mZ3wDhfJ9dIMPCIayy5YFaRoJcmMkjI8D+Gym/NQYQmovLeN
EgeqWWfb2eKSWjQvR0HFwi+yOpaCqhlAalwOVe1cpcA2N5VrCb8eSsMvxrzH9SSOKHo+4GocksHF
ct8ll3ZasytUnQtIFNpW9aTuj9QPjQcgMLX0lRQcsZm9/sprzaeRgDWfR52csrmw/Xgwvop5WGBX
VzfDUvv94JB2ASnDcSTUtqzQA2TjvS6WcqeYfDpDWdJ1efKZz/rC5eg8WcK61Zlh7scqY+rc6nva
RCMwXPcYj7jQbAg7RBGZ5kY06VUS2fAHspsiH09RzGdbxA6QsjRbJ4V31qOy2dg5/YQg9Clg+jmv
mtK+ExqbV7VVv0LdfFGN/F01rH0jDO75qKefUPRPs1MeutTx/KIoHgrR62vdA4Ey99o2sYvnajYv
LKWarZG6OoaB4piTfW2kbu1A6FVnuNLNmyEAl+gWjnXJABus5tJWpn69ZHRX4/LWGvpz43rGzlMJ
lag957wMYxm4fYy0p0VPisavXEFceQcjhE3X6W/jssdmUqs5kVzVjMQ+SzlrjZfaNm/7ApKogB+4
wdMsAhihKerOuoQqpZ5G1EZrprqf44Lav7SoLFN9DMawcnZZVno+qWH5yhsaMj1UOjbMYiQi8SRr
HbgCNRTWKZmsBJhuM7Hy0OPA0JsbUVLAzC4aMw2KZZaUE3+nBHCWMQeJlc7BnMb1ZeGI/VyEL0U5
kSWjmMUa7H60mgw+rXWbvttOSRcWpsvaKsNNZBrzzi7bZl/V5iZDkBbEjp1vXJfGj/Nw2ZZp89K6
FhhWBaNPuCXslMZWgRNMYpgHrEmoK1YI3mZSSvJMgOBd26Veb5xG2wOhPbJPR0VXpO6WPhm4G8ZV
Pxzn+RAPw0cG02wTw6486DVJghb6IRIsohILQLncL6Lgb4NbYWOhF1wpFPerCNbryurHPfBSpu+a
S4CIBT8z9w6ht1woyVJAb6W/CbPlGuhkgLP01lUc+7h0dHrxgDqP+v9cD/FdqbN4yKDabmqDOmyI
lRbue/9uN6gdCvwj28llgTVryBFgeU0rLY/PfcK+DWF5kJGCuK3r5YIgoCM0uIAwk/PIinxtpI1K
Jg7tduK0J89K310ElXkXMpBwPNpU0hVA6Vmgt9x5zdKYsfPSsF9SxYM2ZK9VppzzNrnNQL/50Ozt
ddpq9qo168+cnJWoUM1Nb5ikBCUm3xKbYiBy9bkGurwah+QUegNiP00dA9G0oV+F2UXpkjqUTmn0
0MQ5BLfw2aaZWuk8ujCdv/B1PluGArajP9Xf25C+eA8t3VuDE86AAOcPQ+Wy60vYdeiKcr2otRoo
eXKpIUnAM5Fd5MgpfJM71SLby0cY80mUHDau8OiGc7HFyXHAMukFTYau3yofi7k9TaWOhHIuClBz
ps8f9EAU4YWVFx9K7X6JifbRZoIConwXdukny79NN1T9tgN/3NX8U1EpD2qqwka/KFJ6lcFB+5a9
ekP6BjPVJ+9NxQDn7HHmyk+NG/md3R6WTtC5Zfx5Cjr1lNHPtPB5TkKdtlg3Pw3IKyvWoLdJGvEv
c4CPBZazNtdWSLmZx/DYbancXqjA9skE44lKh52VfVisqvCHOrmyG3cVeuJRM/jm9VShcEkvMqZW
W6Po301UspETEq2DDg1TAVq88kEzuPA8cANWrCEicY0Tm6X7Vgja0Q5oh1I35zrxjqCe2KKiER1A
JDCdszS2gsUWex99qQ5FQCPBkO4C6RpolQ2eZGY/Cws+JLy3xdjwq7klQVHUnSs3T1CQkMlWmu3e
MeKDmNOvWLOSTSTcq1lLt9Wy7chl091tO5eBNh1dJbvDzMDK1wREzxp8m6YjzEWHQsZY3gxXbGwR
vbl2cjT1gZyfUI35YzWvYAGxFekCjm+tju0Fj89dNDNWo3970GoH6SIqmK5duzsjync6Ruixz4LQ
Nerr0m4L4HxlYiMeNC1NeYzHqlJ9aIxde2DnJwrmXmJ0R3wdozJfE/zxUqpWogRmyPYoWhyRgODO
DhVkxNWUQSqn59wuXkRDXykbxUmJ68oUsUnMKjCLbAjCsXrCagi3wcVCNM6RBmg4JXShvBWmPW3Y
5nwRQ/JoJvC5CgovJUz6DUF7+9gxX+FznacEp0PskE0VJ31BsApPSJaZaIHEqK0UBiNcJwCwMpWL
reNK4+8n/3bU5oNHTJQXH5sW7E1em8HUO6exT668wTlKXdeq7NJXzZuDzjOP4MWobqr6jbsF+3ue
+1np3ndJYh76Qf1cILYTd6miRh7dnTkOZ/TaOKxkKgKtxIq6RgR2WH60otgZ0LR8XODLpunso9kQ
W5CNJPEirbaKSuw4d4+eYE06W1x2mKt3w8gTneq8IHhLPzPzbtVprG27xV5hQt/WOtWup2UvWZP4
ZnyV1eitcH2ICW0Y5i9CS8eTgvCGEWV/VVjpB0Z+ViYaAvU5OVWRerKA5OTleDJ1MhELghWaoG2V
6EAI6iMo/H0fJ8+909/XXsWaEGcQQOLJdm7ZivrUvae50V+SGnAYvqqNUUT7ZXaWfTrkL/yA97Fs
7R1qwXVMlOQFp8KLWVTjY7GM2J6a9GIC1h10IwEDc7FcinFGIGxrT/WosrfMrgVeqqx2Eb13PZ8E
7zm3KrDE8WNBHsY/Df2vsF/62//e0G/zz/JP2DkqX/RbP69r/3ItxIy/oAC/O/Pf+3n9Xx5wQf6D
YEZnB/Pvfp69jApe8Pcdy7+1OjJz2dXBCvI/bBilheNvaHU0m+/0cz9vWtQ2Nt8TZxv5z7Lf/2FV
B9uFPOHB9a70osXQbWlLjdpRRsMZShnrayuGUv3CzLK9Ri1JkFwxEr62EC6Hg/LYll7GdZG9ZQwa
Z4qFUe+jzWyaTJZqI59kjN6yL7FkrYfRu6ZN/ZKca58oN65Dfavgz466hF6l2ar4tl3821Ot7JQk
f7NagAFOWh2jVFxn0vJt49ak39s5Khgo2l3IBsIHG0CAQDpv0SSddCqgREeFKaSlfFDn3SxN5qWi
vaW4zidYq/vWdZ5wze+XVrxzHl4S7JcTy8vv9uyhce+ljZ2h/2c7u0EmDe4pIk5OQ0zvC8NRJAGl
r4/arsEXP0qDvJBW+cxQWpIQsc+rBhHTA4rUoKuWRyYGl+QHkYiSYr1vpQlfZyQQmyAujCHatNKo
r7WRs07x7rt4+NlRjUEjbf2gEp8LfP6IS6n6qyso7uiTitDaFBIKAARlT4iyQ2OI51xDXRGowhwx
8YMTqKVMk9638KG/IJ+YrwsrI1YVxwLxax9zMborVQIKSCRhuYIiwYjmV6IhId1q2levKwcNugEi
xWMqcQehBB+M3wgECUOoJBZhloCECVLCAjGhUErxxN/zordelgJQO6A3RPA47dMD/NpbIdELLQmT
XYAIoYnRvZcD11iSRdEKvnsVI1UnGRsJfGQ5+7xzTU78Md4mroskhdRJ71Inre7gZNW4BStc7Xlf
anVtqlCIoZ55tyHQAc/PZ21iBVIxDhit2dwyvjfzIB+maKvNVczermz1o5Pnw6Nb2e4OIrT69M98
83u+KeUZ//04vPuMX4s/UaHLr/rhPDQQGMIilyazn89Dg8UyJEVEE+AUkQ7+fh6aKkhVDiiXBQ/7
akQFv2sXOQ/RjZsya4yO8Xsb/TfOQ2SU/3Ee2sjZ5Wt5+KZs54/nYY6JPefHuBq9OOsC8EQ4vWhS
JEVkACei9TjRaCYwTfF4TJI5Ukn6iAaGpCd40q8NQ9tE6XznKlWzHVL2Y6XG4L+ysQkBNIm+0SbL
N+bEtqtBCQzgJ52Lywu/hdjarR0eY3O29+nkBHajG37tjO2lpZvDyoIYs5kc7a3H+q6iwt7Vojy1
ugSw4F1l4gGUhc//tSMpLY3ktUQZ5BY1L6koXZu1qeS6RINHbewRxVrwU7lTtkmjQdlpkgeTSsuz
CyJGK7kYqC9I7O7LdNzZ0qkeSapMbxA0wmhVuwr1tEJQBX2mlxwaR6MZqXn5RRpuWwcQyixNuIu0
48LBaAIPhy65yFcpjl36LOh/SBP7UseuhqnXlvbeqh9ZRobpTWVRmNocsorKMWXTiWNbmbcLkj56
KipytIF++20idpX7Glcx4UY7AkncvUXTy1mDgA8HstE47xWO5EZak9FkHdAvnK0+vItGhGQCqfuI
m7nF1azibsa/Qiy7NDxjXHdIxqieUpEfbDzRU4o5esYlPUm79NB7G7i5L1bpfdbSUM1UNsG3jMka
9wvEktzghpIu7CQRcBGlMxuz0NnFqp3RXq1gKUpnLdF5iouju5De7qXrHm3M3q49+RVeR1ZUycDw
LYnBaDcPlfSIF9ItPrl2FHQYyCvJ3sl19nvJCISxXEieZUaOYcgcznVH8roKBHTdLsM7GomnMc4+
yJA3N6GhfdRhxqBjivtDyVI+VMgJjEpn3NiTEWKEhPiY8XHdDiqjeOQTBUNBraFRMo29MnjeNnKh
txtuxYNQuV8zTgwz696MmubQI8dqraVYsAYb7ENZ2/y0c+Hz7Nc+YS75JsGkbschUo7W8/wm4Rkh
IoMSomKVGQIFNcjJIkhs3Eaj7REoN10ZY7jTrfIcT+WVnbl7RUk2g75n2BmKS4/v2Zn9bQ3axbeZ
7meF/eh4SBxKChNhMIpiz46wAdVjk7Cp6Z+cPFaDauqZ4qY14fYOI+fK671Vn5abKqsvdR1XtlLc
d9EA1T069kVd7DS984mHOev5uDMHRsyOIN20naarIteXg6vmz3GXnCwb6LKtCmefNs5R94oT/OZt
rhgA08n38assY05s91Q/seYSaa8l3GjJUR+So1bUz7k24X4UHdMGLbwHUvI4tB1lWmZuufw8lvsa
064Yb0ZbUqCQYUf3O/TbCKgYwWIIYMg3vxF2+LiE/HxNjdZtofRYer4uIi0J5W0eIKzch0v72ZAB
tNYXaaBDoqtGTGnjmUrI4231x/5733DdC4nsSoZZgoTMIBspxhiWfVF6XZhJckxidgJTTtebl00A
RuF5sY27kEmL3zJlJPeHJIYs1W4s13vWcJ2uIqO81hW24triftnesO0XRc5n3XCNLf66jYdtWOp3
Y9xdqqMSrZzaPZAx2WDLKa5zdK2IPZRDLPL7xOpRufb4eGakDRFojX7SGdg39J12KbJ1bk5VsKjx
5VIyI7ZCQqeVNv+KlvCuqSMAspoOYyKJ6+0Upx9tbV1FFYB61RVLIPktfongCRyBsux6l0miYH65
NIAfURWvlbEnLdqLbicjWQ+6svOgw3peMW7Muj2wvGPTqmEGbpoCwIGw2VHZFWEVxfwEGoVpqfra
dBPLAz0efFeMLISKe6wrR+J7+VIdc8xobog+AFrkXiR1u0tJhd8tfIgI1CDK2zLV7exo74tWX1oR
Z/bkQdPFEdho7WefJsRDNa/LFK2dhKezm4HpGtpz5ZbkQbgZft9wHWbqzulBMoC8NSVpFeEvJ3eN
SCN3AysrczTVzl09JJeLaX1mPQdlYtiSZ+/seLhh2i+M3gwBALLzWPMv6F5M8ZDzuWWmY5KcIWjF
Zd4HD9p1a40jVqal2oK+feXubNdVEmOyAS+O9Nuwr1xXcWkRLH3bdu1Tkmm3FtQNKZG615z+GdYA
wVScC6uOYHAAvjXJHhOqLt19M0IX15bXEn5RvbVpw7DJrT66cGHAnTIGAPSynIiUsoKQARZ33qVA
MrQSckvpURX3ZEEbtVKtvWL4oCMgX8RpPoy4ZM3mESJEGAGuxpBBo42tK5pjFFjeGERTD2WEDl4+
ZQ10X+sUOypPGahpiFUVTptoN7MMWTuckwrzOaGUt3O1UOYq6Uvm1O/kgvu4uYttGGZb6gj+BuF4
q1mII9hjOodFYZrYA3jjEMdBTWlE3scy+7aidVfeYgbRXHxlalb5biGuJhZnq06JjqoBbczr6y9X
wYJK7/nMlFJbK02BRrO0X7PYslZ1pDypzRBet255yWlO0tilSQkeM91S/HyIXXi+skSvfqnX20Sl
eE+TZoTX/F3U/1NHf9fR2l/W0buhAPL30VM1l33SzzLG+ZdxhPy63ytpg7xmW4Xo+UtJTKX6+2SB
KGcEyPDFVeNXctWvSgGsPjKSyIJ7gwba1XQkl78qBSiyVVWj+v63vuDvVNJ/qKPJSzZcmLwaYQs6
ytI/6AT6AVAbMZbiPKiHCPPmfFN12x+ai/MveucfHUC/WIl+1kGr4H5Nj6wBXSLOgWD8OLzQ0Oek
adbVZ0NguJHolg6JfWzopXGOVfJhpCFkyq6XKrHdk0xVfaLT1rNrV7VmP1aLScfZV/sdsXpNTGgX
kCubA3xJNBZri+HPc34OCTHNK4WwVQ8CXXXbq7gN5lhbL41zMyXdjrQAXI8FmYBJrwWW2RwI97pS
3Owtn7NXBfbLUNd7WHlPaBQZiyfxVdR3a1fP905MJJs2tV/tIEvNRAQ5nf82aYjfUxD7rwiF2zUj
s9rBSe8JnGmMzufXe4psdU8YG3ZMrT4AOf/MOy/m9DMRNxafYY1X3C3g/lTqBNmyazeENxzD3hGB
W0pRk+Cuqx31berKg2EqBUvi8m7UQIPp+n070SXrSf+YFXNHGSDeO9s8zGZbbpq0vizjSQRe4xj4
VEPLD6v2tk3oKhyTiKFoNi6pLxHTdsZ1LiAZLePwpKQGfktS6piDQZTU+6/UAQ/vJnoFpqPCKmZe
cDmYKLmaZJVnTbqzVaAy7OAif0rh8CS1jjJu5Koy6+VRI/zWkMUG/dONxRkKfz2/EwWXledmz0rT
mitd1HvSBtNT3gvNR8p56JSEc1xrzJXmRseofzfSagMGib5C6L45NWw68vIxXOCvhg1XYxVph9Yd
2qCHnrU41nudUKqIuQVUYr67XREHbpp8uQVj6Mh0l6DpvTt0ul9mIr6LzKRh2a51oHR0MpY0PLtV
VJxHvXvT0pSoVBN5Bd6wfZ4QEmqO/SZxpcjXwPJhdj3sL0X1wDENZ8Rp92MEYkvJ+31sxK3UgNxy
3TRB5USDX4ZIEEFVU/k460VOOTw3vdUNSR7BGTp542OmMvlOZvuLG+zF0jJJE8CkYkwZGIAwzi6h
9bR+lCa1z7lyH83NbWlaNVFLxlWUO04QVzF12jS9jGnOp0c0YCAE74fjLM+ZHWJYYg42puWnqQl7
M7bqfRblzPsBFEyKTPKIevbAylevuM+wTtGlgYBzDA11zxQimITzaVdgrg34afW31UWYbRPuat4N
D89cc2dFAvyVnfEp9/LsPiO3e28tU3q2DXHXNDqznPqzQKSdZHUO46P+IG0SeQfLXmR+bKUz0V8M
bZI+mmYPaBK6Xmc/lN562s7xnB6Lir2Poty0Q+rJiV3eQLMsSOgdgYsoDvVj69WV3+XclaxG/cig
WKxg3XUWnQ2raAWcaM2zKVEWp65ynmLX+kxUCnmOtQZ1ibYp8hpW8HzBWPhVmYYL0SdwQobnaKBA
4sy5aUttDV3jptKMvdCUG7Cfga1ED3pmP3euhUJKvfBEdGaMcia39XLp+s2CUIQ8oQ+WHjm7nTTI
uj5bQ7P0M6gXTtcSxcS2vK3Hk+NU67bJcmQ1S4DaSKwqj3VX6io0gMrV3LcPReJl61DvPjtSovRm
elS6T2vgkzjazsYwwej6YSnoLGnyGAanw6woa3WcnQcnGqdt07S6n0ZATiy37utTZhhPRWUC0FiI
WhpLMoLzlHNrlVVmDWYLjvK2n6vWd3Pmm65RPNArb4iEexIifyDN5hkxtnGtDtZy5sJrNm3evDa6
to9b42MK3atmmU9e7kUSpEolzO48oCShpUrzZFMshXdnFu58GRXxbRJFb6h2FF9kQ37RsnBhaNvj
cCrRa5h9/Fzq/BVFfJckVcq0gqHP2D0NhFqyrjeKTShdazU/H4BW7h6SUjkDSKqgVhrq5UrpXeXO
TpE+zDMtfdQSUcVT3j2GXjcEZu8UO55mN2jyPjDtcdyNWi+2bHgJiQYVB1NLpUDOGcxEPcoXVtnW
ToAG2DETJtW1v+lMaGm2tk1HOehVQvLR0GIttnbHyPqp1abbyGrtPY7SJwmPozRdwtNfX7s/T8ik
uUfFyAfdw2ZnAC3sDze7nQ81Xt1mOFcupA/tKnXvbH5qi6l7+r+cTj8bQORrMSEkk17D0OwgYpTb
ix+2E11Hc66LTpzpB8PsoZk3sfI/zEr/6yXkP//hJci0z3Mx5OJc82AS1LeKxxezvv3r9+xPX8Rj
YeNQsWmMP39+kS4GrZCWQpyN9q6pjpNCfNj+r1/iP/8svFU/vIQ02v3we/QoISLNnMTZdG+LZrMU
/ZoqpHRe0/l/vJJ03fxcdf38SvIn+eGV8ni0ChuMz7mhOdFKJF/6YShYQMIjPCwAOv/6F/tPh6Dm
4le3gJnBLkEZ+/PL9VE6LW2vCTYJT1qPvNu+i+KLufhnZv9rz8Cw/L/P7PdF/dkmr/mf9Bp83W+9
hkZDIe2heAW+N5U8h7/1Gpr9Lw0SgcNh8E2H46t+UyXToBiGo1L884U/pwvoJIq4iIiJUPsld+1v
bTGNn58vsDSGxYKA/CVOJdl2/OGccOKmLSelmS8nA6XsRstUbPW1g2//S12W0qLUIpKS291A1bjs
KjvLREm5nHKC2cBlQx2tgYsVYddqozMDndffI4AbTAPDVyABt1mYFec5wyjeLLa+MSyNWZSpdpeV
bX/FtcuNW8A+0UqJWBwGg/4e0lcPPBOYlGYdF/b9e6XMe8p9tHazP9koj9M0ak+1qiH7REKD/jO7
QN5fBl0t5k1rUc32TcbMHgO+j98fRSvq65M5zofMSo5u1YcXRZJnm0zxUCawpCVKW7dB65P6upk8
Jw4MhmB+Q43nawwXgmbiRmzcgUmZqTznnN61PZUHJx7uNJtZaFigM0HPUvuRNyunNrXfRclF31SO
toX+8rWk6QuiFawl5qgVexE64bE20/kerVaIuDK+jDqDzVycfvbRoj9T9qJjRVm9Ge28CZwuxxPD
Fo5UV6/0GO2H2toWqnIw60k9WiBKtwksAAKKBvvYOg4BK1F6Sye0F/F8p9TA7SoToKzqVteOjegO
fgHAPdUEAlTRxS0Z+iFTFex6CU45avEg2ahtbD2P9f+zdyZLbltbFv2ViprDgb6piJqAAMGe2XcT
RGZKib7v8fW1ID3ZMi1L4aipJx44xSQTBM6995y91w4QDItKAoB1kmiTZsLENnmua70+h3x3PYkM
0XEiCR55ciD5CF5jfpO1Mi2hPZegcFFNM4HUaL9M8p0gd2m0hUs77+o+t84RXpzKLmYTYY/FRfDP
FhofNDbMFnrJSg4yPVspyOZbQDzS6Hx5aP/1uS5TwL+vXrfR57p+/WvtWl71rXYtGc08QhLAGqxr
eCT+qF2IMzBSMGtUJOLRvsSffKtdjBUNrDumohHNpWhLRfnmqECBYS0TQiwViozb4p9xr5aP9t1y
ismV5rGBCoMShhffWrjl3y+nyOSzkBBW8QyjJSIhAGChLr0UwSfRsmeNTm6t54fIxDIUDZZ8GEr+
fy0bZx1mQFeVa90MbtKue2maeQXNePTAIT3lteZVpXGDYfFYWhyBGuMZcUhpp4v42OAh0Aw8Eg0S
Lzno7ssxv0PXUNmdJaY0qaUWRlz57MeRo2vyXoM8m0n0j8nckuL5SYZGuMrGdhdquWvhMlwlc7Rp
OvogcT4/4U7cAA5BVpW0V6MRPsdZfs+DcbDi6ol1BjeeJn8IQ/4IVOkhkaDVEWK2JpNsPRvzFacP
A0pj6RHD3q2YrThmROA0LV1GLf6A1RbblTCRYkYhMCphXTeIGabMfKgG8mV5OhF3dED7Bl/dx1gd
V/EgbPQh4twfgVHowPEX6riVCVwYSv1mKJmZtll9n2rTa1rSbNErfIah+ChmGuZTxJOlOB6DpNTs
ITAEV4vzTYtdEnJEt1fVZquT3osLUttN0idyeV8Cv7uf0NmTdcuKMZvDSyI2lp1WCsNPlJxGyYlW
k+71GbzFIKo96QP+um1opk5Dr7viONHfhw/JDrvsI6InuGZBkKrOMOHtqpmh0KA+tWMrha6PRsZr
IXSM+7YgZ2ZWS7HdFqYZuK2BFE9CUkvAdSHWBtKTBWcO8gG0edpXA5gHTW4d/Qv8fPwCQs/kgsT5
VA0ZS1XVqlStY9ZVlYv69D1fgOrCglanZwSkW0YUqAyiM8zNu76A2C2yP5BDLYBR5CELrN1YsO2B
ltwYcznt8TydhJC0HPJw+R1o/wohfEqhv+cLBr4f+9tyAcNbAoh4YI2fkMF+yNP4eW7rye6N9CEg
zc5W4MuDvkKV08j7ekHPxwMQelXrr8YvWHor2ahh/WwmWrtWULW7Ggx7nG60LVQdIZExfCKQYbDz
FP/BlLXI4RcMvgih65gGwil4TpkRQMrPx/iTCjxfA6Iv5+TzJfNez3MvLsrrXmG8EoLdL1X6Sjog
/pSBBFseBuyi/ugzfUc169umNDyipL6mu7hCMtMchuY517QGz7JQ0FYw5sjhV42MGABWInRkKphi
Hw4brA/YKvB8Ix8MkdaSIbNNQPPMen6aa/J98pKhmVqvUtYUcV1NSf3+77rytQNPu/zv15VtPv3A
pyfxmm+riqT9pqs03sESmBc+PclEkiKKMvX6P8lZv++IDbbRJAIbOksOmodlLfi2qhCXhyBGMxHH
gE/4x7q+ZdX445AG5WsJvFg+A7hb1i/l4pCmhGkpwfxvT1mih+tiiaIbi4we5TVcnhlpdGSF/qy7
atiLIZbPnqQBTWpJryOJa8qHlTpFSrqvzKiazljvNeTEZjdoNebzUa+IatHSUPFgYOEIJM8yjRr8
F37cy47gW0X+Mtd6p14ZXWfVuWMQUEP4taYNzbiShCpuXg0e6XnG2gskGMn0WPdWQ4M3rL24Ka1j
WInhNiDVy66GQb2vCsarJhKBqivI61KTmJZ1NfR7wnKnNea6/GSkSXcj6cnwJvJ0lRAOwuCtV+tx
nTZidoj0pKBFWvinWNDUNeU7xAQmgUsxB2W6lgzZ3yLjH45JbgwnCXOvU2MkKwYsggjE5fqV/Bie
yBb9+CrEhbANtbi9k4cKvXmYa+/mnFpeH6YDnWUIYhiTGfaryg2RAESJL067tBNHFR8Iaj2tbbFv
6eJ0qgFBrBOYaUyKJWTPTQMBgba+8sbX1G4qX8R+K5UgwywrlF+UuZyvwnmOQRfLnfwG1F3bd0g1
thPSuidFaxQqvowbpKQhNptZd+665J1Lmm8rS5dupSZiiY9BxR3VAauMxoD5NGVJwOBQQ7UQNY1n
WWntxrNlnuaKDlRG+APevaxehYgE35GZpwcc0c1DlxUd3Ns4h7URyUe2WYQ46GGTYA5DyYOAQb+m
0Sys2VM3V0qklA7K72KPeaTfN02yQxkwg5ASzHWlTePHoIbpxiyzYDcWkcpniw3hGPm6uMuihnW8
mHCitS1Hg2oyc68McKepoCbsUavpDMyy5e/SWtAfaJc/gtqQD7Jglmc+vr8WEsBfTSFjUqlr8TzN
IRgsc4i3QYTvoADgQBu3nG7C2hycvhkqd4q60Q362V838EAC59/K+rWyUtT+vrLuozxo/rphl3jR
76XV+o0hJFtuicBi6TJulK06cmVKLyWSNsC3/br+G6I89uQUUZMt6Xd0Q2WprJRWQ6Z5YdCp+EeK
aWNpb35fWCHiAEqBbciZUsegfTlz9JUWPJrBYH8WlPoeI3CaYTmYMskhR7hDO4fQNyJbK1EApuoj
wuYhvRYFheQ9Jc1wR41ttGoN0WeXZOoN0Oiinp3J6OF6dFoDS6Jp/B2pDeg0irSYk+sCqzPJuzcw
IF7GQSYMWVFOk47ERl380bMx4lWtwjeCU3RbXlzUtGRCyOTCasRgzZgwWWUyargB83Uo+U8UA4QO
BbHhk5N+sWkn8J1X2eLd7rUa5yaQbGPUV0U3tflRFSaCtyCNRGrkg+hIB+jisA/9vC/fZDjaAWpD
WKyZv5LKfI2OZVgVWbypYmETRRw+xjp/E5U6piACVMUXdB8Fwrt8LPPpWKhwShSDy5PODDFS/06q
zOusEF0L6Vc8X0utfj/0yOLY0Kp4Aq3jvw/ilwdxwYb9/YN4+5q3r/9lv9Zvrz88QX+nNAAThSBX
XSS5lkELm1v+W/ePwzUaWdIcZPSnuBy+6/5pv9G1JyYL28+3HdK3vQ6NQV3W0SAo9Mh4Vv8Rk4BK
cfFALuHDMjFd7HYsXbl4IJWQLEAoy+opzF7m5jSOz99dlquvj/afZAaLyOLiHYAuQKdTJEwX1BD+
yO9P6J2PrNDXxu7UzZory+XHVKoEEMQ3rDofbS1BlKojB0o6eaZCviWRfVNXsdsZLOe6oBdegTMp
N+qN0Ih3MVkALDSfhBQZq2wRA1iDqmoTotnD9Cxhjk8OSt9WDF0zqPT2iLcx4CIi9UM7tlaKaYZM
LWrbMWz8j0ETWXaJEXamNjJIA4jST5W8cI4xkLpqQ0ewFlH1xCkzfitR37twzNatZAQczsNqLy1D
IkBMZ6PkYJua9ZNVB6QTywtuRlWHq3ikl6bIRbuWEFvYU50DTI1eElk+0JBlT5JNhyGAKpDmxSbP
25ldUwUlPvUUxGDQpBEczvmLIA5sHNXxI0uEc0uGFTbAeV53qukEZXtrIAUUxHKrAOBMRGGTl92u
RcSw0rrpekzMXTyj6Q9m4p/aZFcZxqsv9QMUHXJ8iOjrkui1bXx4N0u2k2ZuaBqehZmXEx8e+vJz
kwQ7PGrsZLSDmiNhreX+mCqzo2cKqebVRp8qxASq9RBHM7K6JL1CsJjYzYweLMLEWlF1JyKRVEG9
a1MpseVZQS04q7eRkhfAYUdSBM1oOzEyZtvCfNiPdU+sogbhNyxU1XIHiLB8F6FNk7Nfg9neMddY
WWr/qBYKpm3tpDdMeNv5nETqTZj54GP8zDPU/hgO9bYgkywYYyyGMEcza9gAzDqQcn2rS8AS2zh9
xHX4QKbpIyfxdVHrO3PW1sJYv4A6gBLWWp6gNM8Ff7w8ZaMnkPGWpIY7GYiofc1RkvEAt8ak8xKU
tsrhHSoClhXV8O1AN154CtZxFD8HPqbVsSEwVOg6bpvqYyrijbkALZTypavFZ0EQbxtjcRDSBOhH
ayVq6duc+NcJ8Y52OAUHMqITmAc47lTBuAtn5L84n1dBFJDjkRG/JEHwFbCwuCaqi6O5qFQiIkwc
oUS7p+m3saU+dWUTgLuq6WmVy9MTD7eiFO+FDo+pXBETqQGqIv1CuxlNIVh1EwNfCEloHXWlca20
pPXFeuYOjX4KQK+7kaY/iKwyaFt88622WuyoSMZRciPy4/mue581chKI9o6jPiJyOGIjWuqiY3Ep
0HGUwaoWksSJMbM4UHtqdvyC6LYzuRd568OUNfE321kn7kud41Q4yTT46z0Yt3Oplg0RmQh4JAVZ
jyRXzYZZWOyi/z7oHOXsJilzT5o1zx9ny51HWbI7NS3dol1iOJgDnA1yxJAECs01qRHByvdRE87T
Q+0rr0ZSbahvxxgX78qSBIEWj3DwExlufgqPI9G1kbjUIrsttE7gUUU3+Ngl+c3Q47Eiu/Cswnaj
sqzwRDscezunKPO9UdFTgjrDv1/SOBHrlLjhqVG7AOEGkn43JjGGqItDGgteqIVHMRUfk7pfKejC
BoILvXxMXtTY1+yGSM3B9PW91IpAITCwvpUDvPwZIToElGrI7mgVDmsG755iFBHpwFAgQnNO0GtF
9XE2k5Mil5sEAK1U6RzVGNXDHs7tedAcSh4NP79zA0Wvt+nU3+tCecfMZsWEoEudpu5CFyJ/ht4G
uOsg6gWc1oV+EgkfVcNsZOpg/vF2qlODWjgXZKGDeEgMhvhx2Hu5irKX0h8++hXvwHTgLs+UiMOY
aO26qSZOLQ5OORhWRJuKSYKaHNpqYdxpVYFJXCXhCBETWphJ9f01Ibp3uo+JJNfmBXiLxr8rmrXW
BRIq2nHdcmjyShEHbTFVxFbzQpsoru6pRqu7XojsEAhQ+rIqhS3m2pyveCjXipnR3MuKZ70vt/kQ
4SWZ3K4himkydkk13Yth7PZYsuyiDO+7VL7DZGHtx2nst4UQ107hp7ATu3iAsSY+MxCEyjGq1VOn
A6gpCxp+iHJp9hHdS6NQeZIXzJUva+Pa7AQLqYj4Kw74n0d/JgNEdhhLooVlsDWXluyK7xdnOcuY
CAZxfmphXRAbsNX04Xqom/XPdwFfRvR/7Pu/vQ99ejr1nEH+sglojZlDcpifsjQ9Nrp8T1W6MrPs
hXJZowmz+AKmdNOPJQlCyaaRQ1glMvO4fE+lOmh+g5EwuQ59UpMr0VXQeXdWS+KS/7nodFjNPALq
bJ50MWDg8fu+7gcbmB9eIY5EhoTBk54CXazvr5CWdUXUWkl+GjJUw9OdGGcERX6NX3kf/yf4XPzg
TawLVQAyT8MCOo8qhCvEkPjie2i6BOVh0vWnMggbcNrqVikoDKKPlifuexyWQv8kYKe5zi3uQUvc
Duag2sVUUqgUhoRxhriDmMIuVKzbnFWpKzBgi4ggVYCVK42DxpJ2eoqEaDf6YCsHmedGz8BFTpY2
32hS+pqARpHSIPLmAYtAI+luiLTOTVrlXajltUbKHtm+FScv1ZJWRUXqI1hDcIpkH02hvq1m+TMB
ka8j3a5uAVCNRnqcZqNH5DYRky0N8VEMoUXOYxeyb8K8EVqxQUZw8OB3UnZXDQQMWVJw0LIlEkgv
2w3kA0T7LHFSickgBqRXivKZmTbmBQT51Pv04IuvHSEi+B6pi8+mwMjVGKTNFKvPqVKHxGziDSpp
AyvYSmeVrcfIY+ag/CucUcg2kCJx+0vjrhP714T4lHdI7J4IMgRyXHiUC7TtSlOtI4UxRCePNxkt
5pNFkKGEUWRfGc3XQ9Xf3g5M1/60aeZ54X7ggVzGZCbab/lCtuErQkFAldaeIDK/KlaTOYCw05Mu
oJ2inr4we4JzyRBc0qHJRLAUqahHrgoKvzAxNnLQHFs4g8MsH7XCfFLUPFw3mVatu06Eq6TJwAyR
TdrgFUymEyqBJyzqDrwkgPy1wH6EQiTiqiJ+pLoNMqLTpLApWA0wwrTMavMSMFA2v9eF/mrJgIh7
CY9KnZE3Jk/snSfybRH04qurVrVGBHk96E+xqTP1lj/pxrhoICkDVgqqZrzzrfiAT29VFcotvBnu
EHA/k3yLy+GYxOEtjbSbzLA8fWqfTHgLNvtG0aWTyl6wYibTDT3BcfQalZgUdB/kDTDOV4F7YlVa
yrOkCE9S2FdITCGMYyoA1S6MhG8XKEFrTxTjLek5rlwYjAp6fFjEfzE+2htYmgcQuizzJRyr9k4Z
ypNljiReTa/Mbt4rpX7NDd2FA3pMEAbQCT4XaKGNXF8PhQp4hyiyKDdWshVdJ6WQbCdzhuc4uXrq
O1nJhobYAM4lPIy9YF0PVfsRGQKDkElcqV28pl/HRK0JHRlgDS2fg94oXqQQh2oyDndRqK2GZYea
dHiCJUBgjEuKoiWHm6yCUIXCVazlRNhnrOLhEBCnmjLMb9Y4mXNrq8K3WhSkqT+siZ5w8zorEeRV
hJUlgkfjej/DUzUsJjSDBOy9ESm6M+zfWCIMFaQsMI1NkLeExlaH3NTY9WJSOqflUMLYMnZqAGoU
uBlcIYPvpoyk1SCi5y1JGm04JaSQ75TMLUhXIH0H6rdrADobzBN6cB3alrrxjf6xFAn1ysSjriHR
HX31EIcDEkLfJzhHBr7baLjSDIJlvaGfnZJ9w6aY2saBQb+pe3YhRrEon5jdgTqTfrG0/eJJvRxA
y6E1kX2bdCcYvli8jzCaVmNPhPBwTuqjxInl5+vRhVLtsjIsZt7v1yMZgDKnCypDUXyWjE/9eANN
IA+eBnXz8zdaiIjfHdy/1iBdZbSP0digpbisjN8p1Yam7auYQeFplsAaI97GuOfLd1oTFNuwELjn
xn6PN0ckn0KUjmZlakTOwROYF1rHwO9dNZLwoYrm9ZgrIGGV7gEXz7kQjduU7RunHnTu8gL0GJ0c
8kHWRi9kVT4KjF9ugg5EiRaGrYe+d69BEmBj4U6SyHDF9728VYxHS7Zuyzl16KTsOqXdRoq8B1m9
1UrrPCTBvmbZNoRkn8g5D5OAOcpcjaX0mJW1G6X+dsDzFKdo/Fste53FSVulQ/BcjVb9KAd+68qN
Evziqv653/LXi3ohNEx0NWeKbo4nc3wJ57fJ/Jr987dLx69+/8XCIQope+QgmU6ReVvGIIeV+1/c
Fj+/K/SL+w/LM/YosLInTb6KAB9wmcRwWv38TS5Ui19ucp2WtM6WVNJoSf/51huNZgAJx18Bdlhu
39shY09yH43GL74N+c/3OPIR7PCGgcOS5hdbU+nijaY4Iod3LuUT25h3FjXnLl37juCSKbx6tHP7
cauv+sPbTbQKH0b3NXWnN57oZvOrIAd56bP9aYN8seBfbAAtJGyMnCgj7bp3xBU52Ledl13jjHOB
MtRryeM6r8nxtMk6dy2n7F31lL///LJ/sfxcforvH/mLuWfqN6kp11z3Jwb2rmHDProy7HNDHojj
PWqrg+5knnXCRb/Jb7XNHSg2b9xQ9+zZKyy7cWidOZYjHLpN7jXn0GYuHzgPZJCdSGzztK21LfbI
BO+z9e3PP/oyovjLBfz+o19cQEFuorQUIu5LG7D3uvlcrss7yUGG5vhO6ERuvs52hXf1fnC7LUSz
cRXvEMDtIGevWHxc3Lqf/NXDzz+V/Ofm518ed335+Xc1FB18Xxs6nyrcWna4mjc4E+9AIicrNC/k
Xdv1arLJWjtVG/mFRpr78/dfbt+/fp9/PEcX1YZSI0yM5caTOBeuMQz7WUggGeJv+vn7LFXlZ+9z
UXXMCAh+P6dkA8Le6od3cdwM+tukuJUIyr1c//zdfvxV//5XXR4mBTililbFHe7QhJPfTRlc///e
4OLMp4xmquvQok6Jtpdj+oCW4fz8HX7xxRhLOfjuviDo1MyNiQetwOmSJetSfpo78xffyq+u00Vx
a6S0iXuyc2DCLOl46Qqx2er/93dc3GAdafRd3hAKOfTjKtLRS4yrObv6+Zv84u4yLqqS7gfCRHOO
1YChmmqht0jbs6J0KwODXTzIpx7+8c/f8offj4buWlq8ntYCkv7++zEZqfll1HYnFZAiCgMlpMnn
/fw9fvj1fPceFw9NGliNUIXqeNLI6hXE6yz7RVfhV29wURLnJBvx6FX9SaRo04xOlPQXl+nL+viz
B//iPg4jhj5+yn3M2cCuVtDbNsmRI8Jqh9zBDc4oXfY/v2oXAejfSurvT/8XJtd3j45E/w+lTcga
9URjOKeqopq2UQK+Sod529tXRPXyA1tzYa/a5rVg37TusqpfPVdXyo5Te2jH5FPbGyIXvF99vB8u
5N9vXS7vnKgeROAM7Uk6Lwu5YDdeqm5zaWUnnuo85vZOtKf9h/jG4ay+n/Y4In9RvQgc/Hk1vvje
e6HRw4rQvlPr9A7D8dmWddvap86NddIPitc5z/Lat3M6tuvagxu2En5RoX/1EYyLdQ9rnqDmQ9me
hD2IG4fOZvxJW0uOse8+j5vSzQ6Gh1XsI3gmUd5LzoETf/7FffLjpff3++TS/ZSQmqxCSUcjtB7X
GAfsaNnVbZPVXb8dt1tIvPZ8Ajz4SIKnk61Lz7iC8uN0brglU+HlP1lKf7sx/3Iw+8uj8sfjrl1c
ElOADcxRuTtVrurpnp4643pezwfySu33YOuvk5W5LTc09Q7jyrh3gY3yFbVesr6NSH0ig8D9coX+
Vb0vVer3Fq/zyqD+Kwng9Jp9/t//Prwm3Ep/YQPwmm8SGln+DfUsgm7JpGMtLt/k7xN7KFsWqnWU
8IqIuYUffdPQWKQIMI5Ajs4PxS/ymm8Te/M3WFj0JFlOEL0s2QP/gA2gXFRADi2LfAchDZ1BEXLX
ZUoaThVJEatcOyd9GuyFIKv823EE1LMhezfxBlWlVWqQ7MKJ3CE2I92qNU7qZTS1SXzM39kk4zgb
RHwvcWqK67Ejth1GDoZ4oLimtoCdYshTCWNWwYq1o7FIrcdUpOMXYC8B/m7N5mctpjPWTyQQ+L46
w8oLg30+Dvs4T9eC2TOrlePupu2brdyP+ks6AtJp4pBhLhDaVCw2Mw7gQQ5uKiknVl0nsreRsSvn
Wb1pZ+lkNdZnAgmuI8U8M63aYqi8hWnvCUXzJARmuc/9Yl+FxHqGarRlGP+UtsHKFMLbTNbugwi2
Ccc+pkOJUqLcC55Rzm0Vs3Rj0X9WrPSVZjmMrZ4k96TtB5I8iQGlgb0opMmVruHXGoW1rwhttpNa
hi2Ynip4sQB6g2OVqa912J5bAoHapfVhtcVqLgZk6365y4zEWGVFu9Es+GFUYDwRoAZn6CEJwFmj
VCTmgNNu9oUnsw6vp0ElJLWNt12QAxEymhkBDwomc+GaSz5tsqHYoJZ8TqbAQxNIR1+p53UwpaRr
luE7CfWcJEpJc3Jp8gjP2rG9ULzMlE95ieJ8aFPOQHX9UPqh6ir1R6dP4kZPdMvFqoP9SdMd4MEf
wthgPLCsc5V2ZHNHGJR7o7oza5NQBXq1BF5dp6Rikj9NYnKPOaAtjZUW5PTUxWB6mXIQToH6yUBJ
uUwvLYKu5mcVtTXBDi+jOF9XeHyx8DwPJazvug0/CH6l0zckBNE08Skzpk3SjJg0VInNXTd8Hk30
DgyicQOVwTqWu/cprNF4asra6JP3CYtJARB6iT+K9Oatxw15QCuLOylbqIUt5IvUGRaWIX8/IQfT
Ajj0tQjYYQ+1k0OuaRB3kFENHIQ8+NkrnxcnyxWfASzakU/aH6iRtSVAvLb9hOkwCrBwM/XieeZh
uJ7M2PASwSS7BkEpOCB5pyixsoIJbSvV4iqISuEcB8g5jFEsXIW7za61iklEIk1AGJVo3GLu12zG
mdHONMfZM3ptAOkTtYxWhsAW+37NfPXdFIMzzHW8ybJ0VLoqpztrXcMhhWeWxqdKL9HFSI9Ijqfb
WhKS51yKoUNX5Noo+KYkvy5dk3BsfDFKAgaZs7tK3BZaeAXZLM+syYbYy2R0IUYOwkgaGEqRFUCw
KAd8Q5iOiQyo3gJL0GFYY/iLX1+Omre6EzyJ+ArafPU21ztlkZLsgKJpOymAgFSUsbRQqusX2YAh
oREt4hKQrdvqonHLQwOEeVaXa4ZcpF+0M711SX6Ks8xfWw3/dqgH08tnRAlJwnSmyIgPaoRY9Hro
qUz8l+/X15ktqf6+skIvHYZTxBMF4KnbxRCTwoG/WhTYhQTFXproomf0rgoLtHE81+iALJqD4TKA
Nzu+IY5LYMfXpK5M6yynE6NFzK6XPAMyIPZm0AXYX0Qv0pJnyNdeJzS3cwKTKU1reCakoeZScmy6
OlhPXUaIu1F7fllu9K75CBQ/dDQWD6cUUh5YcAIyMo3sLmvi9GCF/RXIKqQvKuFMWcGsLiBxDbn0
I6pFUn/Lfeebn8dCloA0ZDvETwhtpdEzdPVrU+XfHYLEOfVnO4Sm+fwDMvHyqm97BFR9lqWjpSV4
lUdt8VX/vkcgEHz53yam3QXTyfb8P3sE+EFsKRgiayKEIfgabB++7RGwzImGzm9ko0Dnk4nfP9gj
4Hj40xmAPYIm8cH4ryyqIsrDi8Nl31mjgIB2OE/IVg03BAkJIGNxNAVTFEI99/ftnCBWmxgvJw9S
JzEb5TActdtypqU/9vqcHBo4DLMbj3I7k0pY5gXHrFzRtfcRby7W2rL2Z7cNakocboPNiNTG+rDE
TGpvp6YBnIOsTvUdf5pny0nLYvHi4HMQZrfSA3lGWJUM4PpnZt0MaLpglNxMDurZVQ0J4vDCiUfz
nkheJyZk0dV9oGr3qUTa4pqEtW0kSxQcyHKQPIGKbkZl6uKPQTFHGKI4B9wgiHHyk3gpbrAaBTvB
N9O3CFixYwXQQeypnHpXSGsdn3HE+hxiOBMzARALVo23fhkoznOmeC3WwJDiHKieNoUf+iAQVp6b
H+x0oJ1lDOKMkp8ROYzyqu8AlRvFsA8DYgjMpagGES497Mtw1moBNa9B40pGjEciEB5YRIaCyMQc
V7Q0ReLGrFX2IT4EcslcLAFzEezKWkiv1CkN8SBKlmeW+efEQM6kpAqzmbBXvaZoI1dsSNxMAoP5
rdalV4kI9KayGPiWqCmyqhpcwKrs4Ezlcwg3fYNcmdsC2CaIYJWcpyIwbFEX3sqEbFB9TrsVq6vp
hXX9YQyMXUqZLZKRsfFzhppsubSVDa8osmZnaWLsyEIYH/nM+O0KvdglTGWjLiY4g+huvBLDdG1Z
vuYNVpExsyV4shgysjVq1bSHjvlcPtd8TFN5SvNEpuzFgV3XqsgwDVxgQYw0o+cenyXYDo+oq+oa
zg5m5WBor42IHck8SRWMqAkGDmaFdD2L1ug2PULQRh1Ld5SMDukkAXX+mCcbKQWoVwFS3Px7sPqq
iaZe/X3Z/KqJXqU/VkTz0m+1E+MwFBRC1chCk76SDX6vnTI/Qi7MtoCitbiDv9VOBfeXCfcYyzEP
vw62+I/aqf9GyI+CBRmGAbyTf1Y71b8qltnj4EGjUmukL6uX9DVDCiRWca04y0St2/ICAZCGaXLH
EVmnPAYSGoZknSrTNs+IxbGtPHzOLGOBu69Nq/XwHZyMrtrGmgD0HCQk4jagPUZxSCOjOHOyephE
9cm0yFsxm2myTaF1+ym502vYviIxhESKIu8oYuN6DJSZh4BsexGBsS4WjqkNIsH14mkOo96BWdjD
7w6Jh9BMIsfElr2GhMKRHTHKHAysCP9nnzwuS9SKTacPGRYz9TROi55mInNStxqkAWNLxlcv3oPU
cYx4cjFKNE5LJP1KFzkJUg7fdf5OcPX83soipJOqUdjiOCxOhvjdiizTnfwC2W0WJnY6hds5V/1t
WmJuABXnFjDdPWyw6V7ThOHgR6EFBBrzh1rH91GFkww4F/MttMfYiVZkH5GiOOM30ru7OqrQ/SXV
vW4E57JaHF7KcFDHqForld/Zfsn5MRfQaAyqWK2smmuaVN2xLGOMb1NBIegR/NXaTsvlB6rXjRVj
DffJLUHQIm0MpULBlESfekk5Bvl8muWsBxrHObqLa06VwsrvCpKQo/IAxjFGvidbsKHBzM1jC4vW
R+xcsM8uCTN1Uhn6dKtfJz4nOAX+jiPPgVtBUVoPQvFeyUAcZLE5yZBP1UrwCvx1WRadpbTbKwqq
ZvpW+6rnnvG75qqKSKM0Ey4NjKjOVRfxN1baJib7D0e0oYVsUqH4w7eMi00ioUEpBa+OhatkLJrj
nLC71uqoXpFXeyPr8tFCRebWE/16NQN/KSccOBX8dnaqwtWLgSvbKTzTJmjuRmsM1zDJjoHqv0xV
T2AHTFHwDLqjteKDWlUvMXxoR0rxK1ctR8gouGZhPUgjgqVgPFWN9anWh9LJ+oZr2OjboIokiEva
oe2ac4Q4SLguKOzz52lMk40BjNhKygdWn2qFg29PWpV6zFHH7eLWei4S8abV6k9mOa1qjj7lHIBc
1p2yGXZWi5VdlPdFGp6iotiNcXPKi/Sqz9EUI5nqvNTvhq3uax+zLnSxHQ8KR4YOgQmxav18K+vz
MajqhoUlGtYBjnCwxzrvy7qe1t5gzM0i994Ms3JVa8+NwHKdddZ9brEPjxEbyORNZa0Ga0NZSN9X
3Sxv/D6iIaB11xQ7FFCtA90IbWfEwMKv/CulaWm3kHKfmO2+6KIbWkgrfwpu55KDjl5zigpHshvk
uuVBIR/BswJJWSOVjNYKAwnEesGmwp2Amzw0XRx+Szggd05ekpacSzLbFMYx5ig8GWr+UdTiJ1oC
yUot0gd6EQdAdgq5DmTRaEuTQ6x9Wh5x+YbclESYJDxGo0mZEMWrrIBL3BEAdsZb9VnB3+SK8/C5
axCZZfp4g/v9/9g7s+W2jTALv8q8AFKNxn45BLiTIiVZkq0blKwF+77j6eeDM0nsrJX73CSpciTK
Itj9L+d8BwNC3j+jp99Uuvg8RRaVQEXzBuMLVCQkEL3Rt2MXPOUjCdsgZDalPW0JUPNEWV+dKD0K
M97MDfZ+o8JoaqEPxHe6K/LJOdAcP9id7/HKyJ8d/ZMqINuSI9h4M9rAdTnG47pS5HnkY3BlbHNn
TM1uTPXIzVPkOFYqCfWlBQX5JSlFFn8qvLQ2afDdR9VLWEEuaCd0QmaarsnW/gic1wgGRNNqdwm/
E+4BchiDHAtlal+zVm5ESOnq94jRSh+1ej8PkUvu6xbjv0WmRkqQWqu8MX5b23aCoN4IDqkR3IQx
Rnok8f1RV1QAEGTi7AxEhWOOkCUjHJHwRNXr7HznjEi0O7sOAISPUHO9xNaOoWObSNGsZ9HM0Z7j
mMpbp6LTx40SVvcy8rfmPIEiDM1uPQK3XXgqr8ilAaIhHasNMif7qmJnQmOJHee+M8YTLJ7YVTSI
+5AojaS8GYoy3ZfqAGtzvBMghZEjTxvDtI5F5ewUTEMYD6ZuM3TyPXE6IMLQZsi0jNdzCvnzv3rq
Z7MnNcxf11Onovmf/82D9/S9+ZN5NV/6Sz2lWrjpDbz0dJ1/dNM7eOyhpEC6BST7Wy+q6T8BmUVw
DB6MSfIylP61F5VY8G2VNtUg7RQ/vflvelEG6d9pA5apty0YWQt0NuhYLbH8+Xf7uti2GN/kTnzT
ZeuZDAE/3OrV03e/mOvPW5TvXWYg8v7kVeBX4cJAsEb1yK/n+1epfD5nxmzEN20RR6lX2CIHo08K
jetrMlnHWgOcnlnhyQrs3O1IfnfT2T/2jHPvRBnephFR5EYYnQYhmEWriuGqNiRqfGaocQJ2QjLb
dz0nYu/syk49cfrdNpM8V3NxHGvtEtXBQcQJRMZ+oTqLytlYS7vmd8hZI+m8qSMAUDNBRR63ycic
qPvgjqm5zU20JzXhKxREfP1okeE9EZxrHgZlRi8ykGTRKg2+GQfVHDH1dOFJm0Plkvqjj7J/a6WG
9iwzcnsVMHDbSCQh2m0gMClXQpUgCFVhKtoEzGL4Iidyj0umha2lIZifmonREVGXOHvsMFy1WqnZ
j7OsTGi6Mt3WCrf1Vi0G+JNuqTLEqNzOyNrJp/ijwLUrqZz5/qXXRNxjC5SzUPKtzfTKMztmvPju
yUW17GinpXpy6LC121der9GejSmwmqOcir5gLKHdFVZtjNdQ5bStgsk5OrVpHQC3Bl9gqOlPvRUS
b59OQKDavNP3NjCDGnuNMcw7mwkHhebQOA9FwZ1l5nq5VjoCXGU5hvg/0JVWAdrAXho92u3OWrf8
zk/EPjYvDYuLcSIYbBptuXKqaK9AUF0jDsAajFPsbu6ZIYopXTuF6txh9VfxjJE+a08OeIgyA8GQ
6F5fsOCsoic7Az3PW9cTQBLNa+5uyWKDOemYjtHBnPHKWIxgt2hlVTd3qMYbzA6YGKpma2r9btBz
eLGjbG5R1qt07Nk5ytNzXzdomOroVi+MvR12CJvMdFdEeeIFmrg2znCPT6d/gCJqf4AuZteSeOYw
mh9F1HlG1niJX6mfhNJtArPF/FUka0fJNonNBHRkEozg/q1p2ndkQ+9TPD3iQPZqrT84mB45QICz
zFt9FOfJ7j3NaXeqIU8zZN6g7r8Ko2MlomzSQaWfx83RTa8kFDEHePVFp3qDmWpMRUhkT4z+i2FG
X9PZ1NdmkzQHpuHBShnmk8zkXgvk2Sw7b+iSLyVvH/cvM1LbWvu9uQmkvevE/GX0m3WQ+XJViQq0
UUCr0+SChotcJXViuGpZV/6Od5iR8AlEc8DuA/uZ3ovoHOom4X2+vG3TvDkjuD4GcuRhJpc2rUak
WT6zBjubjg4fIoEiXOK4GAnPtUuNnqN4UuaWZsu672Rwm1flCRYHWH7nlHX9beiweZHlWgJ/Yvo0
ruQESgm9MvLxuiBWpBY3iZI8F4n6XCbZIWoSKlYcmp16SydC7wA3GYuMocdulVbTcbYsZlsMXfC7
vVYo+zvH8JyaKX84At+Zh4NdzBPWizw/kMP8lk2UcEpILTEFaY6lR0u2lVNusXMod/OkVP+w6UdK
+8eTl5b9GxUdUBj//vHkDSc1ayYzJdSvSuS6T50JTO2UeBkJyac20wbP6gmlLcKMKdT8rpZVc1tV
ifhkzzbBPuN419XxSYy+lzjWkxjbbRWaH6QLBID/EXwHMcHMbKs2xcwznfoR4adk22C2JA+5gphi
2e2O5MivpGl3bhQ3jxKi4ZpGVnNVSP6kabhD5TbjXi1BY7XIxNW4Jluhv6ay2DaZ9Tal2T2I8ENH
qurcpIeqI+KqLE44OJ1tO0wEBU7RTo6h4TY9WUE+iYOhHm8Dbj+vEc2dPnWqW4bmQYQOn2stEODC
VbDB9fiA21EnUYR1mpzkRY/m3K1ME4ZhlJz7cr4Jm3ifDMbWgGXsRWm19/MEm4m9dBM2Hk28oUZQ
ntKAAFsrl5coHY5pl+2416CGl0SNFFOzKeL6ksTpHSBYVjp5n3omZCdSGBie1fU10poeFcaStEK7
rU86CMExenFIqY56HqaRB9RmoZgk1RLgu1XLDEOVCnts8jLNZEig7wbOIa0p3grHOolKYKx2lDcf
C8yqlBUVLWCWJM3UvVIuZ1l7iizzsxTpRgggVkSMfpkyqbqQuRK4OcFFmw3VIyRvyWeP7R0ZwB0J
PdpwBHpQn1Mmg/u/LxJ+lEN9K0RMsM62JZkWoSP6XYnAkmeAk5ORpYsfVYsPNR6Yv3+FRVjzg8RD
Q0rMXh6JNSN8W/2dGkozgWXaThDcpGCyFPMSddEuKu/qgW6zTtHH0Q7F679/TQb6//Cqy9/7uwKr
K5O21DVFOYsJUa6Uy1wnv+dW/My0nGgbCBZuaxs4m7V93+UJoDDS6NIcW5iQUeHm9fy5UKxT1OrC
pVvbpM6gfrVD3fIyET+YJGF4KMqPVqp/Mf1kPKipZnY8TXmx7mYrX9ulgne/hBlt5dO070ZL+1rk
MTkozM7XURS9pjyraEHN0OMEnryWQZbLiuIeC+7M4jR5YBNIElFA8MDUvrFk23EpfWrqemM2Q7OS
RrzTaLdY3FOhpAMIsWnuhFsR6OzVA/EwVjTeyTAHRBb1bqUF5op40SMPPe7TQa6aMtrXurJjzf5p
nOMnXSQHoy1YQC/5eZGvwfRpCRkxO2OfzPGRTbuXTz58tlRgPPATTlnx1BO1QmOXYcwft3mNMc2f
eYIFDrkAUyC7iiLObKYSse3VqX8uad8Cw9qphTm7djDeh0TKrMZS+dS1ZKJoGi6j2Wq34NqAn3bF
ixlU51pkt1VJ5A98ulWjHnqDKNbe0HYWy1qvVNWHfAp3o08SeF93NxiodULKCWas9Xe7Ep3rL1Zj
Q98GpX6yhn+SMX0bfv7dM74U4t89bYNOiSGJcjzHp/wa3Cib6lg9DlucozvzZHP1uK9yWLH0PefP
wz9o/77Z3v744ouF1AQWqjrLB/C7F1fL0M4Tog3PpWes8pN0yw29p3pUnqyNWIuHi+Kenvp1jCzl
hX+kN9NJrA7Rxr8hTeyfpH4/XnwcIHzaNdgZBuhe2qjfC7omMaAZUOPwJhRX4jpXkXiq+59XCX+p
GvvxzPrjazBF//4vPNdZp4QhI62ieg/qnTPd/v3p8ad/BwsNkbXsJRmd//j9s9GcETVUXN7KtXL4
PBjUnD+fUP9tkVWWqn/dvp9f3t7/jA2zfNWvnfvChpHsOlQJ6wVV13dbZPGTgflKR36sSRAB/NEv
SjMLuioNOu8YexLL/n6LbP5kLQozmy+At6L9O6WZ/s3M89vnjS0ymZHYY5gTcH0Ke/khvn/88A9P
DXOv4OI7Ge0soe5tA0Q4Jedda9Onktz3coT/OJMEby2R8HkGArLo8Pqq7/oSGj84BifjAAvaSo8j
QOjV7MSEoPRsm8mcX87rVbvE0NtZ+iiWYHo/cpw1TMhXtSsJlLWRsXYB7tL+i0mqvUq6vQGTcxUF
4bPppJ5C8/DIVS52OdVbkA2+a/lG7/FjF5uu48mOGI8GqvzC0Cz3qohNMzHf7C9xWW/G1v/oh+Zd
Sw2CrdGHrW3C7Fy6rPsiCdm+5PjChkdlSed1zKB3C4OOLlHYJJiK4XULb7J0won5V/HVNuJXuBU3
mSFMhr38FbuaVMmmVK9KqgG2CM5FOR9jUtK3cW0QcRvJqxHHV5Fr44oIvwXh0I6Em+n21tTLHj/h
8Oo3MTQGtYuAA9hsMkID7JSIP/X9dAU5xYpBwMVutNQ6EeFy32T4SjP1tsmHehOnOuseZz6GqXMI
2/FYFqFwLcxVK73t94GKczso0LwA7iiIgzFITY8a23NCMT80ScEMEqLFugMVg8ys1Q4AsuONk4xv
rNvBVPQha4lcoD3KYnurDbayJgzuZFbqvtKJeZs637+dlJy0lIrAxyngNnXSjIAGJTLdvMvD28Jk
A7KEf0QWRWz1PImSePpAW9QFIc1pYBGDXuobcmerPfzVCb8wtNegIvHEytlVBNlr64RovS36NpiB
2TrNuRzHzH9OLQb+QV2eI+z1Ht90IvQ+AsSSj56Y+3XkqyzecrM5SFnd0fiFnoVU0YtHgweyA1Mm
Gl3b1SBf3KCbX+GzsONpOspzsKirmGh2tyOabxfFEqX1ZJ8RszmePZrvddmzZXHUm3xgdK+1PMr0
dKMX9FG6KQPmUqpi3hOk9txbyZLNyXynsa101zYjuSrBcK9MfrP36fpYQ+XEXUI8Q4+JRq3reYwd
6+oLxIGVnuo7wou/OLH8SreztRQYxXJszkqGRTNQbIJThtybw+rr5OgTbz7YES9vHPMWXWKrH9SZ
mRoFukHHOtZTxsrqnfXd0xjwmZeJDR8DzziC0nEzaa12tYbsy5CXeL1sVjl+03aUG9PjSL9NZ4Tw
CeYHVEgn8fAhT26SFCQFd8N2SGGzRSwIfbZRK+L8zGNNJtuqskOWb0b+aS78S22yYRudxuuK/CNq
mWdr4T6X9rG3gRy08XEm7E3SOIcKNJSY1VUxIRLQU8ZBWa3ficLsPZXvu6lG9WhrTH1oBvek/Egc
XvzgTrBrBv2I4OLDbK1Nk2AhKSx9XRAmeCiU6UUuRR4IZ2NVje1A5E9vHqAabewxGP3OZSvRPuVB
1RebMSxJsw2VurjXcMU/0soOTCYkYB5TNH290yLbeA6Swji0TZkG1zRIA3vfVor+7Aem9M+xgVw3
c5LW6xz/SWUysTZG+L7g09O1z/Oy0wtcsEOMGG3guVsbJU3/Qgnq9A7OEqISxoS7EBIyhnFEYkMU
kF5Z+Lf2PF/GvGsx48wz6ZjZNcUV+tARRrDOyojjKUkl+rv4I6it25q98k4ZjM0UNeWO3K3UtRb8
tdMyT+gfK6OYN3yKt7ZfP84O7IZKzFdHj45dgme2LMWLuoC2inwAdprdqYOaui0hu8tqKuJZ8y9T
IqQ7teSLKSRSwO0Y1GSfFzSKjZa/WEUfrjXZ1S5euVOUxF+lPXAajF9HS27yairBQIPu0XU+hymC
GUy9n8R4ypkbZsnORuCZz+zyoq3S25dANaJNP8UfphaSqNHSULPysdJorVKwkV6F0x98M1rMbLjP
Zm0EcsXpV2dZsMk1+EcTPOtVTGpkW4zYJ/Rsq/VCdbMBHYk0q7soNlAz1dbJL6tr0YjIhbLKtBll
axXKGx1KkGcEyga7OplYVv5IDu+1yKobxfRztxDmU2z3r/FghtthTI9DOUJJGtujTzaXUeFGLqPL
ZADOlq15KH1yDru43ERAP8rGfmaaH201AR3fVAooRii2c+CgLgiCVT6xQ2I0ZTns9dj+vZs9KY7D
zGGrsWGMMzZWSJNN/sdxU5v1QW9t4E4RG/uotvZExXE+o4lOelA0SnRP3PxL1cH+QWWTEGbeF8pj
ovFWC1La665oOW76TaYG77Hj7IyhgHPDn/ql/dH28VvZqMdMhttvZdR/9eTSa/1dPUkO3J8sgvii
X8rJb8YFnPoMOVgHfVPP/CqswbgA4U+aBik3Cxf0t3LS/kmDoqShOhR4oMVid/hFlGj9tEQQ6myI
mGiAv1H/zSIIFwLl4g/l5IIzdEwdYSI/Bd/wx3KSwADo5oqYLzD3HiuNeidlVLGgRJgfzNnGrsyt
ykNkTApDCueRUCeUzx3JYZljfopt/awV7T6L4zUBVX7jWVaGXDtiuvqQFg7wZSluAyWv9y0HIVRy
sFlfJRpZNIKq1odHEBDZCNZO+Gx5od/BYYvWWRd3twL9swdJ6H5Ill69ny6OAZkZboFXhnPCXVB8
miblkUSqB42SaCVI+3VFTX2hTJcwsg8qiX5T2LzWs8YGNR9WQSzuylheORYeZd/kXtjyyfLbZepX
E0no5x8Tup5VCE7D19Fvy5ppCZvgC1DElyqlWDBAJnjkfbyB75q9VjDCdkZ7HYh2cKnk1E0CKxtU
sKJP+2FEA4JS/Kh21oWIcbdTQZ13livU0ELpHjIjl/2x7sunUDhfFB00m51qt0nRrMEfPCYRJOA6
nh/aGkpYp5Y3qk+sdll8SKEyaojunG6pSLXsVAbZXs2mx6TpjkrRf4iaklQoE2ISXJmI3ZFBK0rS
rjQkHVWjEIkXmq4ywbv3JRMKgzb+ItFeotSrGEe1QIjCYnBbB9xKEbN0ydBbruG8zG4OrwEJkvUK
+e6Qa5gbWh8WRDOyObElJ5a267r64qcEmWjMlkBf11WJJtTssm1rwC9aGWm219rabRqDHF+YN1pB
HnGYky4s/K8JXMYkHRVCFCj88vElMEEX8j3dgrR3r1giC0Nk6qGmvAjUSS5EEc7WhOEy9hRCbewz
a1dYe6LpNrILzVM6aKTu5fU9iEn9RrYZcnMZsF2ynNib624X9uNMdF6qcw1ZHhQsdcustoV8VZk3
HYtIS9H3kH4eWdDuRCcfhx7tAWAo4bWNVJllyPiEGJfyDib1OjSw1/l9rKzg7esu4QL+dlJVcVOO
mrwlJJL6NOm3jg6TZQgOWdL4aD7kC2MNA2PDFF1I6hiIVNA3k42uq0WxhA41dY0h/zo18GP66HMR
KEDPicULQt7POJ3Si66TiDhmP5/ufznx+N1EwhDoldHdMYsAOrxsoX88I0pt7JNUcdRLmj0k+pth
eP84CP6Tl4CvZOLx4owULC9+fImpDMYmjqDQJc3XLrlO5afc+dl6+98dtUyf//6OKovm5Y/X1PJ1
v1xTaOe1xSeHOB5UNaz9H6YepJRpP19fAK5+u6Wsn2BGq4hG/5/xz3Px2y3FqIMrjb2/rlvLqORf
SOe1RRPx4y3F2I3hHlMZdETLE/Lj4xFDoZTWLMNLJjCTnEPZGs+jKohvNuo8D64FlfJh7irz2Qz1
gaGckuOgGkZl+FLPVvPohHpx7ziRMQM36oZio+VW+9RoHQDFRbmzNsMY/06kPBK3wdo9mHUQhKiy
5GhebcjsYAovXU9QWzq9QCd5kaGv80m7Mxs7W8Nz38oUuaCc6NvVxFyPPRm5Sn1guoxmjLhqtox9
4wZiekkqYJHVgF2KZWXDOJlw7om1m+uY9ibNexBYuQXJqQMFFdRomAYCQzPzTu/BbUWm6iUa2zEf
BBAqJM/puZfy6r7U5DMqSG1V+NwVeR7DEpPzvLUjJ3PZ5bMh04272LROvd18luANEjNPT0SBHrsw
oV30pe3pjUXyQR3gvBpKG8plctdX5UOlz+VZq3tIYznFer0Y4GqCdFeDvnimUuxprcZCf8yD9JQj
I5+t8rNmVj2sIQG7StTvc1NPOJRGdFdNt4OBsBVOtlPpskrLimlkHFfXEXoxRNtQwuIri/kdVL46
uEFvG7so57/0fuwgZBWPeZi8UU7f2mS62GX6qibhJ7NoEUq0sX7yDX+Pt+s2KhkQ9QbcPfyVIF+B
7AcLlrtIgdGa5ie9Jm2LXcCbWeTHGalDOdmsmoVN55Jb1oppQbwqgvGYg8hqxYAmsci3aQSkTOrd
7Lak7WD2eozNhs0eaTwbOq41gLz7HGKjqwxUAaGwN3pl9TfdMsyBjWC3q1rft4mZPSJJGL066WCb
cpch9rvJCflZVYpgLjV1D/UUf/X7gRl+WHcrspY2Vm0/mdL+bPmBKylI0gzN4rj8GKK/Iz9oU/nz
JU0ienq5cfwrD2txo/fdKXWS6zyZz5HJ/CCHpLypEequdNrcvSDFpjV57FQjPhUSMfMiJw4V+0mx
mKSR1xy5ajz6rlIvcbPJjVFmF82pj6RYX/uGWUa7GA8DS9+gVnvWIbGGhnzI2jQgQsY6lL15maJB
4/6nNHFYO/cVxaPffLJj66upjOfa7N6ln31qWmuvWuYp7hN1L0ILAnvqNHDKeB9wBLyl6sBHbMYO
YY8pRq3cvPCXN1ftEH6uapyyqsgu0levrFo2lZN8VRTftQtHrKwQP1emZdclVJLWjLIza/On0GS8
zrUpQT3k6VEhCBQo9VStfHzGLsLXF/wVybqd0lu18T+nSjG5aN7xy7B6dez5lObtuVMh1Hb6l8HM
XqgmDyRcufYgb2MCf1Lf2Ydle2lSsdU1faeVZNuRmnPuqO1XuW7nmynJPV0uCSAqvlcjhOrcasdI
rfPbhiDj5jD26iIqyHtgqvCdHadC5RHbT12G7jEoMrjWFRv2TZUKuFwNP32QF4VXjrq8jpN+YJeg
3oR8sFzec4P8TCoTo695c1prfJqrPLirVTU9xnpsbFt+BeshVdKdiq9wVSIuQjjb+IFY9WYb7lpF
w4nDVg9EZSnUjRIjs/6vlfzZqcH1+NfX9H2RvuR/EtGj81W/XNKYNBYiLE4LmKc42ukKf+0l5U+6
MFk9YMf4//3DL6sJ+6flfyV5Fkmhhj6Kq/2XW9r+idbSEmhEdGktNPx/c0urNt/px1uaHciSWMF2
hCwLS/yuTtTtLK71Tk4XG//ZFctCdheppfWZE1cepiFBbqAy4LPbXpzRJvvoc/uQ4Ug/P1rO0N6H
oki386xGR/LH/LWltFg2oypcs0S9SdPQOfea6p8MA+uoxppg1TOC1L1ubhdeZjnuFNs5jHJm9N4C
CQZPmrxGjGS3JNX6i+Wb26psxucsDINDUZH9piPl8CRRyQx6bdJy6+nRkZUbptrL5GfWoSP0c9NS
XRzzpHDwYg2QBFvHdzHeXxKtg6IVJQlXN9VGSLAMMZvQIx1amxVZFC203Dh+Lyd10G/bPPOqeQ4+
EC5/CcfAxwKCFWuR0RfwwknTTfZydmi5qKeugRp8Fsl0iDqt3uhlfmsUMHYj0Srb1gzmwxx02iEM
hbVOsW8QQNTs0Qo4Hst4fZukub7upfRBtfb2KjICEPNZOZDh09/ONUk7ZdqkDMyNeaUYBgYDuyA1
z7mJNRCm/cRvR2HHeRcNdOBZpKqXpqE8mCwC6KuwOXQyfq5Ka1xlaZtjIDbjNcDZQ8gCoHX9njdM
GdTaS5VEbHxT3cU6tj6lJvje6LdZSzw7UoHypS+C+Dy2+ruSFMKrBDckaxrbI6DTRWp0b2roly0M
2sk4bmWfPkpC0ZyT7rRECMr00lfqtZD2owgaCwguymvsLPgiUcVV0Hnxy62QcUJT7/XgTKdZooXI
jo2mvhvGEvNjDvd9iMiywe/nJoI6LMvExQqcXZ4V214zTvHonMtBbEO1k6ioA9pe37wSBbeZg+iS
zTjBzTbbODoK0tmYzgaSSxZwD2wBU28e9SPkev6k858zWX/VBrVijWO/4kQke3R64I5Ce+CX8EXK
hj1ezlLjpkoQ0NO1m90r4Va1i76rDjd+MZ4cRvx8KrIoOakmQYPQWNPiUDokkFhqPZ6YX0f7/w7j
b4ex5Oz868P4/J6/Fa/Rn53Hyxf+eh5L9NoqRGCSQqi7fjiP9WWLTCoNHENa2kXY9IvhWJDeKaEc
OvTyRIUsKJHfzmN6KU0Ii/GE8W/OYsPku3x3FqN8EIZGxAnzO8aLJI3/Tvdkgd2w8e0qF1VJ3a6l
hBX6/O4PyHUTIzVXnSY2SDPxrQSk+pGNWd85dabcSqtXNOYiRW7dBaybbDAZk+Z1jVo/sV2ypldD
oYg1Q8Ip5OLwj6vF9S/tGRPSwH/RyG0tW9Rk5Az2lmigcd2XirOpQQfkZSJegwqaQCXBihcLYWDo
YB30C3WAsMdxrS0kAlDy9TNOMegEC6dgJqD7MOTWIY5rDQdQvTdCBogNeINOdl9xslCeLOQDpkN4
epfJD1CEaaEjZJaxplrrb+yFnJDVcbDGZYjnYsIINi2EhTpB1EPU+EqbnGRt0zWt5EJkmFFJ4jNs
rnGTU7xOLZDeheCgqk+RDr+/AdsXVUHoMV695azPVzBgzpOgj7SpUwe25Q2mJdNmXqq3KYaxhR5h
LRyJlsDhQ459hqofygT7LrFuvqEnaro3qlt4FH2J7Jm3RbnoC63CAFsRt8RqtJF+qHSIFklfjLcz
NfQ2B8t5OwK+AHEf7pyFheF/w2Ik8xxtqMdhsrhankKWWQAa9YLSmL9RNcaRuBJWnLA24pCAJGyT
pX8PJrzc9vFib+TBzvd53XNsN1AwfFOxz5FO5t2KS/CcmHxxflarzr9Vu/BLGhrGKszNl6BGqjg0
rLMYZX9J1DZY+235Qc+Xua0SnFI/zLgap0vKetQNp+wjnA0PjVh7IfdmcjOyezAh2tysOQhfpTf3
dV9ZB4xaqtvH030YLwStLNvqIf9wavZzowGsT58G6axg9Q/8AK3slrDZfpD6uTdK5TBpFuwT7NlX
w2jYe9XsFQWRCobmSgJVvDJO2xN5TIgEeNAueJTNTV0Z1dHUqaiVglO7RrmGyrXbkkf4vIwKiXZQ
CVIZm8MwYsdK+0DdGLpv30D12SiZ8ybJxzTj7Lbougdf0c5NaSFylEp5M4HG3EuzXvb9804xGLni
VUvB2fs+/qT3VhmPUYoaVLdOU0j5YcXhthrhVLP74+98saccLDshQb1yNNTolIVsjqLO8M+5zTI4
M0tt04XBfTiNARd3uq9jWHAVb5Id0pgNuNiUmDQUNsovAaGcq9aMLmNf9AzZ6YyUts9cUqIBmqd7
pzXWNtHFWY0vHKk0yI0P04o4WrINI5ZNmVSu6JlMBpIZO+PKsIz3Vq8fHUqmQW0RPbaIAlmuPdjU
TnTQD2YvbEyhTmGiZXHMg2/PHzhJ74y521ud7WlZtjbbUSONcDwaSuLGff8SmtrWrHu8kCjMY8O+
NmR62IV8cxI+w1mqvbfOdKcrI1jUqjxP1UxQnu6WvMeoWQHpIAFGtouTUVAZ+NkrzvRPw/I8qkm8
JzPjOhfjJVuSeWMIYGOBAbLAZMbLpwZAwHy8marJlQi8c7/zFJtucFa2dO47qnY3K+Od2eD7MhZh
tIxeTRtAv1LuFNg2SUg6TVlc8lLY61wUW6B5yFC74CpbUCt9sBspf7JCOSEk2WAoZNEnMcGObsVH
BOaF65PNxGrI9dv0vU7fC7IXRlwjsS12EwKXaMg/G0gJmpnMRJ3XYMSu+/KCeOW+ac0NMyS2oOOd
Pjqf0ngm7SgFtVJQ4WRkrjq+wxPoK1jxBKbp7GNChMYJt0Fp4zah7Zk2EKCgCffM/Hdk/XwWaku/
a9+bZvnZDpu7oJ9uu+wtn8r3SggsHqO6srRoQ/76pvEnLwn0dSgmN9DCW1IAzkWv3dH5f6hKu5K1
WImBsYsQO8Xpd3ajYOdL72OjOLVECzNnghfuNCvTKJfohWMjug0fxZvGsTeq1hw0H0f3WK1J4aFI
zxuvqEgcYpr4OnTFZ74V0iJKpanRKQRJn/WscHCnfHhp8obFhXIk1H0/Kxb+HMDofZ1sQgLVV2Hp
Y18OJxYQprWVbf+UdflzC6BqKq09HRGoB0BRRVvvoK3vxZgxJzMcBO3956EWT0Ud3xWKyqZ8pPXv
+N05a5hzO6s1eDot4un6W0yxxxIReq909/jRd/boX3xt3ud6duh99RwWCEjzLtpk6XQl852lM3kl
g30b185JU8cvJei6qWaPIx37wa/N26ZuLnlj3IFbEuT1NvcdU/u+ROpRzwzRjPSE75G4yEqsBjRQ
9XJQzcXnKWmPkqTtsiStgo1WrAGRHJYmNGcVnj/U5XRQJRm/Ug8vis+uBnRJet+AcnBn2R5qxETz
QO4xODJFid9QlDzEbca2GiX9yrHaLzo+HUlCXlyA3YrUNzNjR9JWn5M63AupXjhvQWYsaUpDczTm
RYWbWok7C/VLaDTlxtGST1ndkps6JttEU680LzGjRfZLhJJtcLvt/MR0B6lk64jArB6TmRUMgatO
0ktShPthfkUYs439kbjh6e3/2DuP7riNaFv/lzeHF3IYvEmjIzuwmcMEi5QoZKCQw69/X1FXtkTL
1tJ9Uw+9aApEN1B16py9vy0UTElN8tISBCtjBHkDOBslvbPqunBVR0rhI99h1N75ecYmATFt2yvu
ZxJA1iSPbsLeWcfquGL2w/rToKQIx3k95sV+anEgt9Yt+jT2mlb4RUOzLE59JRqUiwIjsFDRBhCT
U2vlLlPa40y/uqnFJ5wGeCwaj/TA8dibDL5yle3vu5L2/HXG+71B7+8jFwvRrm6jVZKy3Y9a2Xao
67qLC+VSzRFLpYsyvVYQHfz7RaSA/6/x8tcyVALDNdWALWXoH1oC6PxUG6mlcjkSQIXgqHsasfFy
qoTA8u9X+lnB+/2V5F/ynQ65DMpJmwOupLunyKR35Wired6V9n3SPcel7f/75X766fE2YW2kM8cQ
/8fL6ein3CArw3OvPLfdvgo/Fdmnf7/Ez+6IaplimcsYhHP+eImARA7Vm0R07k1Yc5sO3EUWMYgN
NzEzar09/fvlfnJHcDU4tDDlY8RifzgxSM2dPqltfCbwdEGcxaILNyL9xT19EE/LY8kPF/lgjGgC
pbXsgIskjDba+pB40fL/7zbkbX73HPTtTD8aNNwZjSGYAz8tb3GV/+IiP3a63h/rH27jw1cj0ikV
fd7E51EBB2BhVz+bccMC92QxaWku9a75xRV/9u2gdYV2B2fSwjj8422lsZvHRaLFZ6e6olXi4wV3
gi+//9FBwiJwntgjAFofPrrAMhTb7evkTIrNKrehzZX+kN39+0V+9tEZyNsZ5WmGQ/zkjzdSDpHj
xPGY8P08FfYh4qSYsBh4wU3S7U3Eh0Nw9e9XlM/UhzWIJe6vK374sjDbYM7TJjS9SArIXQUV+ovF
4ANz2UKnY2mOibmS6aTN+/ph8WlKE0zVqOXn5IDSZcfmeQQHubKuomvLL1YwaH7J8/3ZA/H9XX24
JGrtfIS8lJx7GzcOgyDdY1Eot/+bz46pq8rOCRzow7dlzzSjWyxH56DyfB35ptv+4rOTn/7Hbwet
PU+bhwIAWcOPz4MgWxhFu5KcHY6+k6tTbT7HJrleSfKLe/nZJ/b9lT4scChRypr5UnLWrLfIvbKC
m2r+xfL280vQ/NY83P3A4368mVhLe9ecw/RcFJcWNpgx1hd6Z/9iq/vZK8TD9udVPnz1ad1H7RRy
lTj9lCm4DpVVbZKw1/lpe1bSTWb94jv6223pqklbHwAvWxEisQ/jd1LIHZE7kFvaflPVz4O9qubr
33zQPlyCNtv3y3bRh3ygUZWdh7lYaEq4nAAB/W8uIf0ZABA8+mw/XiIZx1zJOGmdm+yTMu+Y2P7i
An97lLkHpBAoZSwab5iQfrwAS6czaAVwF+q8vMNkkexifPOF9/Z+I/8pWUw+sX/uyt60L0XcgABu
/q5lkb/5Z1tW/UMyHhE04Lix+aq/G5NpEMtsR2e9Niz5Bv3ZljWYhUlbDdxBB6fO+4++tWWdPxiQ
OfhpDc/2flvMYvz4+koHj+qq/Am4UdF3krX042OiuIqR1mNWXnaTnc7HRBcwMjRTTfRV2+bZ2Ymr
vuWwYTFqr87ArT6ZYTSsaj2/7TUAX7mWHyq9fmK6f5E1xXWcx8Ao9JKgteDoWtYR8XLqF86wCY0+
XOJ3YZcdHuakePNiWndlrzeDjwD6ygrnNQJsBI/E6XWk1C3pyyARbJNjSzYT9Am8nEZfaK86Y98R
W0+2JhvZZTwP6zG+0FO7hX2sKZxh1N6zKU6FkZChgoYBAwuRnE7s5JvK8S7sjKDRWyNoIfwE+ZB0
TLLDyDzUSdw8JUNQLDt0jDoyxz5BW9ElewcKB0QQz2pom9aWsoQ5WyfbtHB6WJV1qFarnFoJg8kw
vnZ2TnMpKx4cYXV+Gw0bF5n1Bln9iwjKYOkM1XiVuNmwZmh3ZChY0fJrOYFFMWsZbvbIMzAc9He6
Gtwr9bxrHeW6d3K/6Icd2cHLXmkP42Bder0NHE7Yfp3p11MTvwilxPvtKIuy7Y6EpkH/pd1Dgw2S
pqdd952yszV9VQTVyQ3FF91AXaMMWy1uL5AMbMOgOoQeIZz6eOrK+lWdmmsvyrZ6Yt+lXo+WggMt
bi876klUyMRNJmY852gLIN0OVnNdt3TKxmGX2OZD7tgLVvAXz20IZx06380NfZV4XwqtXJmZfcIU
sRqAR5piphPaHIO4OSMCeaqbeSlbbkLRViRVnuYyp7s4LYihPNFe3jaj/jAP5bGnX2XmxYnv0hfJ
sPai6JQE5akxvP1sWAgV24vESjbCVp9xCK9hlx6F0b6GJYd0+dWHjofwRsNco21cezxofdMuOk89
dXoEryw51bZ+VU1MQWflzoqMXZbIb5hUSNAMu0ZzFwTbUCxWb57Z+H2RPdDKuSvV6LqNlHUgrINh
umg+85Oa9BmMAu0wmONrzx9BLxnxVKEdgh4gtgPXLmoPoYOIIR73wxjtyiavFu5Uv9WOToLbeF1P
uP6DsLeuHKvexPYQnezAPE6Wnl/W+L12eZpVYEH10tAEc1Pa9GN1yYH3MGg8Uh2Qz6wHslZJ3JqA
uzbBX6NBtDRz4+DAZRsloG1EKNJnmbMkQfC5hfGh1MDchAg2o8S7KUbwPNfZcZDgNzfvblNIcIZi
OItUwuFIwoxpXUpgXE7TXIkIXxe9Uqz0SDvizrg2JWgOCxbkAwmfg/99TqDRNbjQqB7LrYhSBQwV
KizsOccWhh2kN9+CaQe5pVvxdPBt6Yy1va45g+EGZAYLDykKaSJTs5eyN3IpDwbUPA16Xm5XJyFx
ekOVfxImgD2cyUt9oCOcSPhe3NpXVubuSonlqyWgr5CovkBC+5Skw4oBlkyPUPMkkP0IgQbxB+sv
18vHlk7GAkx+7yv5fOrgAo7wAW0JClRcuG6CTOAxxrlUJP21DVWwpamsWAQsKl22zpj2+Go8HAFg
ThC2WQEoB4TvSVChLpGFjGyqddJNh1LiDG0jvgS9cNfbne1H0Xgb2hbPOxn3BSzE3k0ROPPRkGFP
bDoAB0+CEz2JUDQtYIqzxCpGFlyT//b+rxNZ9uJ/3vuPb/Wnt89/3/dlysl3+z6AOQTYEE/IGJGQ
Z9mZ/L//R+F48Qcbrm0S4PoNVPpNHgOoiy4Yll2PqOWveNNv+z7OXYTPDrpTAzEbIRO/M5KliGBf
/+uk8+7cdWy6RYBM6ReZHxtuhqIzB6nS9FJTzbaGjhgL1Y/73FRw46WOfHeQVfpdlVRXmpMuO/BW
uM23JKOoQbIppGVTjp9a956JjliIuL+lcKn3KsVE9BhIF5fdgv2faFr5+bvFS0ZIw1veCt0CdoER
rEyny1HJenoV+ktAEevDG94LzGOFPQJtwE42YisT0l/WueM9VtvPtnCuhVHyDxiz2IajxS7tlluz
8a5a7Gp9WeurPMmZH2l42cTQpncB9jbFNNjJ1Qk0z6hduljghhztiS1dcaH0x421u+1tAV44HbaB
rT+Z0ks3lDA1KQIy8tjIkaWRkGyFkQN6qh0XNWCAXa6KHjsomsvCEukmlAvILOVohhSmde8atUHK
1VD70/6u3lVsuhS0jVLahmxGrFIpd2uk8I3YjvDakWI4W8riSimQa6RULpaiuVBDPjeho6ukoC6S
0rpCiuzsCkpELYV30bsGj7cfLi26vEAK9Aop1SMTAeiKlO9hcUDJl0hRXyDlfa6oqZhyb2pC/oai
ii9MR7G1nZcyVV7rgxThOKn2qlUG8iYqMadKkmPUI/kIXAzYGCYiQgQWRM2uVSu/MoHpD/44laRr
1Okbbu+HiqqvVLEB59SBGS4/36EyrD3l2MhSMaJmtER2PUbFhaCW1JX0kAzQwiqqTEOWm62sO6k/
9dA5FfmIbzFqnRRv9BTrK8PoDYIhrCiZj0jPioWaDqtUcmUNsw+YaEe7Lg8oGSV9drR1d5XP4af5
nUyrErOHaCVfl1JoakmCLVkon5g6wzmEAuIj4WmWRjSuOgm+zae7UJJwp7awmJH1iT9JTi7xJqdW
knNdydDFTRljgAsxuvJ/Ss5uxJjFoXmKsEe64y2PKB/J5Z0koVcF1etIZm9a4yqeBMArVW33djz2
PhNYnSTSRlmouf5sjxqb01TeDM7IAGMa6MkXjbOoUO54eElB+JoeTnPnLQ/Cz1mJjpu3y2cbZ7+l
qdFZ2I6mnkG4iu+nayaSdTUmvgwrvLXLo69qZrgs1LolscVqaeMoDIPxuIImTi+Kpi1v/9s/vsor
aVr88/5xA7WL/k739x1EOt7+3EE4HkJcQFLFXqHj2ftuBzH+4CQJUk2m/MgY8D9PjqaOoMeDxmBz
lLPx0NG6+J8dxFRJJKAX5NIWVCVX2/mdHQRt7ccdxERl5NC5QDdk86eww33fJMGsQCp9jXN1rFVn
XfTmAKjJhLFuDlsoByQKThNmZHVQL7kJda/CfmLBjZ10R6ZQ+Ui8RnOkfylxC0ZFw9U2t9bYNach
DcRn0Qb5xsn6+BBlDiEsUFBjX3gK2u1cU8ZzU+ftJQuR+aSowOq0gA4IUfcaUrciKE5pKLzPJP1c
gw22cPxqyoXOQrKZXTu/a93JekIvUd8MOli6tomcHeHcYBOdjiVPs6by3ujUFk9Xo7/h5sseLTUr
tqHVYBoUQfPS06NkeOzGHAa9YeMkQ411oRdXQ1Kssg6vVhiHYtkPmtlfMrUz+09lwwlzr8ETxFrb
lmm30WbOtW9kwEhEjCnzdKqgKepLJxKc20jsiJCWeNIr39HDmVvQtsPJ9ZSSc1VoRqO5LrPBdVhQ
ejEoSwt5EmJVpWBribtsek16vcpXOu+2VwXjk43B/mVSHIu0nJGgEACw1sXU2dNNO5Tzi2SdwxTX
Y5WwbhaUOCRGIBB9+MqTFENxmOeXoInmNxamxxpOXBHGF4oDXzfX7N4frBpdgRhCIvW0btqkE0Ps
EKnFIS1HaDwtUIgF42gFDs4QxusmByS5gGJN6ZBWD6YTZ7vM0+6MtIoA2lVINKTLwXLrdmsnjX3j
RiLftUrr3QkVG9zoVSrhCFJQj8iSsUqj5m8NdLlXxWGgSduA6f2YXyauBqSw7cdNryjNiJ68Yqse
g1h8cciJ2qH8La4R1jY7S53t53DWnOXsOcndGKREziNEZ4+qkictcJg/zM50aNK5fJq7Udnz8Ia+
4UhXe1gHj+6cD3cFIK9VV47xDSc5cY76rAbhaKAtK0yTUzPTaY2CwovaVTNaDWzEaXD8EJfGVu/1
N8/G2ZEZF844GFeTXSMjAVmgvQnAIOsqRiDkiUa6DFjt/1uLv9byLFz/vBYf4dF9+vtCLGMbvy3E
71EuLuNVWSYjouRH35XyuKmh6urmVwHlXwuxxmrrAJEjIYAVWjrVvq3DMuSFFh6OapZwEgl+yzQt
F/QfC3lTFvEs9ZrOv/UVfPvdiLEqKzz6URKdqw4F0rZ6D0yxnEuNJA5Kj/A9TSX9Gq3SCQIvoMrI
zBVQ1m29dt+zWIb3XJbBbbakjxjBC+2NhIR2tM8Kh2uzCS40RG7aKpwVJTybaRHT4KrMCBI3YuSR
2cJszVnsZ40Ht5+OkGNA5JlsiB9UmB7Cqnrq4EongPqjrfO+nmWkHyyMkWbatgprLyHVrWF7qIas
vgzfV8PO4NVYhewVkE1cGyKLXC8tXKab/x79r48+w5h/fvRPb/3L55efPPv81rdnX5cCYY6kyIZR
efN4/fDs65Cbmc8jG6YjzQnz2zGWqEMd5BkHTPIO5a//+fAbAK1U6/3USYTRbwqLMZN8fPgdxJcy
pJ0TMRf8GMMLqFEYVhBPl3FxNian9fVgGhaYIu7GGcqcOgGe9PTi4M7ZtTuZr5PIFN9RZg3PNpk2
4EzwY7XeRZN6l4ZqlNTL9ispP8es8+7nubozhuIL0pt1pdgCf7PzlAl2LLexZeTHvFH1/IDSB41R
0HuLdDZOg1ohNQO6t6js9N7maLk2SmLHNIRbmCAAmurWY5o59+E0vxI3RLR46m2HqrtL4/Zce+Yp
dgMNR6J7Q1YyrOIxPAV9e1EOvcC30Ow1l8bUiDk9H0vueV4m0Iwrt9t1brRmZBAgRCzWRaQ8dCL2
UUoumDOcMkihswmRGDNhsOLUgB5l6JYJCRmVi6rZwO9IMfm59OLLJtVsEomq6WZWck45AVZ20fhz
NeIMTAw48bCnMHYpCXhg6ymfwbraQ+Bw3lGzC6eMvWU1aM1SGekaOmWydId+mdEOWXqTKck/88LQ
uhsb9eFqrq17SflJ/TCuzRvP6cIWepJVolIa7aaZ77RhIIQEtXMFtrdqVbKpEkQVBJSEiUyLCjNz
GZRzTi0RH1yb7Llm2qjZuJ2H3l51SDMXBOttRtXs/feYygD9numwdCHsfROEV2Zq4y2QajzPJnUP
whPiXYPuri2K5xhlY2ChcWbSYZlUC10HzBvYlZ0UW2gSyipKhbUAeXj0VIAs6QSAP1IfJtO+yAWJ
Abk1vVSaVd2ZOYrE3LzWcEgOYtixbG7GJAm2sRUYBD4EW3QO8H8rYz8RaLXwFAR9k0IFPefuvdKj
dLUrZT14Ovp4fDQSpu0Gw272qNrwG5GTFxY4cGU7sBKbOI6cherQSNEDpgyowxSmv2is7ucse8gs
/Utp8JkFSfWouiWU6/QOoeFTmNfnMUpjfEUuw435samJtFHLaBuMCb4W4FnF2F7kBD34ejI/9khp
C616aScqYUvfe0m81GLxZMdEWQQGdEmsLBWhVtltZ9Z3UWP1C9GZDX9aukfrvhIzzerWeapoVCzq
zj7WtHdmbEOqAfAIKfNGnZBgd92z5YbXsDrWjlZcIu+6HIXq8Y7N+gFYDp5huziQr0doSrhOi88p
XYmuB43bDMGmjAeJFTO1JUaXcwzVwFVpiXsgpLl2Q7J6Q3yCrb/kAfwdS01bH64XGNOQtMJ+urVn
XAVjmRH8WTu3WLz3SBWfZjc6Zt54Zeg0m9UUrlLlfQ5ydZt7Lo+RUwFTzXkAA6luHVdBohOIagpe
KO2Wx/jRadkqNeYVbYxE0jM+e8QyrBJlOJcBTZe80Uw/CHVI3wG95Mymmeu2tQY8ZMzODAOu05R1
JZoEROAeyCjBlZitbe91DNoXZgHnQKuhfTpWsGwGNfDzqcI0llh74TbmeTbcDcSNiCZQXyU3otA+
BRMYpDCd7+ayPJAq9KoV2kWXddM2Dzxl1ab6KaLFBiw1ahAE4xelH/9WCmdedZhasQ8LKRqvvIUA
uLZgeknbwaL+Dcz6QF29b3UND5m2i6L2ug6BgKiDsbNn80Qa9L7MucuYHAzRRurCmhUTQjWxz1HO
5MgxvyqY/pta6wiO/nnLP5Y/tRHxO982fLIiUEbSarV0tNsUd39t+NTBNnNqFVWsbasMrP/a8F36
EUCCKIPRGkAKYp/+1rcmlsvm7O0x/qaprf5eVgQpyh93fBfAg03lQMXhIECTP/+u3G1mlDOd1dmn
0CjmQ0VdIBCNu1Flst+EPYyaOeh0+DK6HWVLt+XYhg8mZ3jUxcm77l/Njm4Xq8yg6CYSGOU3wGRM
VNwdnctViPEN98w8WBndXyZQ4cPQQcpbzpy5AUWmpC+IXcPYUCy83rLHqy5xoIdFShmumcwpfjcW
D1BsYGuDBmwlPqFp+pbtCSI24y/WpVBp1kGn3iaFfqwLmxCGHFb/pF7DWoF8p4148AIBizHfF1Vw
0IbxfoJQTPID6AAh8k0ndtjtEX2HNO1iO4n91GmZTI4OzTqXrbMLCAWDIsMQ1jtrKutjhnVR6ZqU
QzHjOURjYjnk7kWN6FiXHc246x9bzCdkgmX7PFYtpP/TuSFbZz3YPYDvzmMx6auWA+88LtMWkTc8
6Xk1WWiVkRisIPxPSzj1MD3d/rNijnvgbmCGsBH5eaB9HkdR+p3VrMm+YNdDxp9rGYu3Lvy4ru+J
wcj9pBoOdJU6v49pUzK2ulFADVRORx59yhKmQBgN6kDskLiFi9EsT4leXlfVwDon9jFopgjv6qIH
BKA51WrqsldzwmtaR/2yNTBmZekyi0zoUSK8MIN8VQsX2FkAkwl7VQI/okzX7uSAuTTaY06huE6z
Gvo8aQxaGD50wCwQcXoA1iYjXip2eOYEA6Hca32tai+kYGBRqfVDWOIJmlNrP03aTRuOK3tkzJGM
Grtqch0W/SG2jGXqxN3CtucYmN+ULQRknm2dBpGvjt6ZVrKD2dh4KzOt2WpgVSBTlSdLK9pNZIBO
MNI7VHLElVVYNqtLJRJ4CbxUp4HAccrNEvCe+f3guEuZM9KpxpMqmF07zBr6IbsZU2sHqHBa2NJw
ErkoR6cmAVOp6tEesj4B1N5MLuYwPBQcgZeJ3j6MwXCvmc2t2bC/ksO5KSLvMmkspqX4nawWHh82
B9CiA+loqVhWKXuuC+7OaLubIAGUVSZah6kh3IWNSTRVW1139vyEXea5smB3jPGULKgiKsKhTc03
1e6ujzGTaClxIaUdXShKeaE63ksBcYQ2WKX7eqndIFJdUz/eikbdKEZ5HpitMn41bjg9uEs3UoE6
jcqJDtwxdoTiG2m8HuMM8xyRWSRiv+ThPG7Jzt52fW0CqXY9v1CgITDqKddtWzwlBQgRJBbEBYyz
u/fUCQqqhuJenesDKVTrfABFGOhAmwjUsRe2MqyzZrrUNBNzDNlZZc0s2nHuMIJEF5C8spWtjW9p
7F0nJtGitoEFXctGzN/z9GXowYH0PQENVACmjxwSAkojEygcqOxBRvUcAEqxGRiSEK2AZhXxhDGn
tIjuirZpOL7YUVusWrsoVqPtwXiojihj3lIsTMuS2CushpAtLRzwAJ6/1CAvwzLeTrS2incWZlTt
HEnHFGAyVSp0+JYK0NwO9suom7uQUNMFIh4JDUuOGsDNCfDmBICTkB+cIME+z5Jd1FY3QVR9aSWx
E97sYQLhaSviVkimpzExulIl59NjXWRtZDxD0ujKkTTQBCxoUcIHdQZIoRlIKkuyQwdJEY374d6T
XNGuJBe1l6xRcrifRkkfHcGQppJHSkpoCQ1NBxELrFQf3gbJLiXDPl4Vk7mP7PxpnPhENQ+by9Dq
5IeU9+/5zUYDkM1ElhlyeJpSBxeJgZemKT95uon8Qf3SazwMID9uRc0XBvLcWFpZSzJcWHCeyp1z
D4WYFGeNAcqgEOXTn7CMXXOrOEyjy5m87LVlSvp7r+iLGTKvwyl8GbnqriupvhmsjTtzsG50ETxG
DpERdRa/5egWFoE5cFJDl7ht0v7OKIh3QJo/42Wre/xI/zVGvjZG/nU+Q5XUvhFh85PWyPfzGfUP
/NZIa5EKy0Lpu0qJCb+cjACdsO3/iXH+1hqx//A0MJmOw+7/XVPQsP6AVuEhDJeAKoYpv+W4hjP/
sUwCzWHQFHQNKGZSMPhjmZSLzMSC4tqn3Jj7tVADc1mqzpPDVLJ0uge9RdA1XwVTvwHdudIr96pr
w7sgm1MfY6rhC1xRVTEdAeCEyidjSO9yEt6WGuKSzVQXr3aLURpaHAFzyVYNCxaKrsTDXQd+1DN5
hQn4rBS9eNXaIiYgIRtWLHMBdOoECG1tb4OwvigGHCSJET3k2OoI8Xuasd5lwq39gcS9KUmvvMh4
qW3tcewn3bfb8Qg1tPSnKEWCVSX7rsPPbOVl/zCp7nMMF3VPsGGw0gaLdqFI7tIue1YnZ94BRdgF
BBpjgZ63c6U/901+8oran2znBm1eShh05ZUMfZPhroviJzdWtoNaPjS1El44ukDwZ/p50Z+0hKSZ
bKL/EJ8keamaaskkjz6XsHWoHpni2MPJk5ChMtZ3ZrnGlM4xDd+mfiPzG7CntulTpUcsfiLZ0OOQ
WgXZIcFU2MJXgDehY5wzg0VpNQ2iBI8m0WBgElMOdl4O27Il4zCIpXouwd5qH8DzzmsT1riPdmtb
ldnnGlvXstUbZs+1uqntOfKtvjtPrrdVE7YnNeiLTVRgUI3xcGcF18vwVaLBRIuB8G+eYoJrcES4
87LEkDbaAcfPDoR4G19mwjvlwlzaCanN8JUPQyjxJc7SsegptCZ210zlpF9IfFGIhdW3h54QzNSk
FeA0jR/HbU7iPf2RKfbwRufQglvnBVv0DvB3u+4a3KUqcyxM/VeDYze+o2FlqYxPk55Uvlkl14VG
zRzxzSnCuLMA71Z5Vq8QwbuHStGYMJZHkYzPfT7eR03zKioXaOEwBcvZttkuk47RfU1hkibtrp/a
ckkP6qGL6ZjPSGb8OMqvgsY0/LQft8SVl+uaAwf50fawSMudoccJqGdcx8AbSyEuTbAYKeQ1S8vw
3VJPiR7L/JQZN8lcPBMSt2+14VjOnExw519AxT6oebnTcyKwMlXs3N59TZpw50XhhmkwYkG3uR2a
+EZ0yh2GsZ1alBcdER6lbe9SNbwEEvVcNNmdnVZ8qDNpt0a9l3LSrk9bRmrjVZb3G+ZcB7OzoR8P
W+GVO01K8yeTjnt0EZqYjmsaVoLAoKFRzypDyHU319Qc7ePgULM05kxZ1V6KLsvBpDgXtadfW7HY
p3G/NdOp4w7zbseg8dJU62MoHOzEPagBBrbAC26asnlgS9zTPDp2kbmMwum6UDPAZrz0aRatkb0/
hKmzscJym9uxu4PzvbH7gYxipz0ahRdz9jeQlIQ7TplXudLDTkMsF3X1rvfUR3WkxeSqWbb09O56
iKxDRwb8glCsaIH2/ZHpw9bp2KsnklXHmcOZWxyNzH6eXW8zKAhLPMq0uH8qwG42lvplbsIO0j5n
DxhbMYdgjnazUuTXekwtkrlDpq/d0mLtGw3jAiUj8W12tvfCDhRMuhvbrl0omkcTMLo0+2wfhPSj
sZceh4DeWewVr33ckoJSZydF9TZV6Z1qoqyAdI3rvFK1VWxp97HWHUby7IxUAbKa3MzyK4SJ+Cq0
kbcxBIU97LVQeRjV/tLQtJOawqi2HRnbO7zoCsegWITYyysq8JbvotasddGF8aZy82dhGMfJ4/jb
xvU2LZMNes1h2djaPZ7xi6rpF1GEUKtRrnoIf75u3jphR0rP/Jpkzs2MLuRQWJXYqWFwLfLiqEhc
blBlK3O2njVhbxw9WJgGrLikJcFtqEd9m3Kk1fXwLaVCZDxUqvuJSaqmUTJrmrDWamxsnMqqIa1G
As4htb0dqtsm7x6bIb6pOOpPXXgb1M22UDjajoN7Xwzxhnu+Dafsoa2ifjea55Qs30Tt6U0ijG7z
cWOZ5eXQhrexOjdLusNbhUChdnZ3dWNfzZm2rUOPj0a7VKq6WERYxvtOv0nRzqxUtFBLt5b6J224
EoZ9bDL2+xVqHJ0R71DF91Yetyz+pJ7qBXSH3M36dVTZi7wCXxG7PW8nPYrY4YxVc0tohbYUjBsn
LLwzxD2XbllfrGYlJvurrxAk96Dv6Bq+9vDdTbtI1uwwUCygWy6FLtU8iGHLdhuQLLscs5Ytpvf6
iyQbaX8r05eiZozNW7xIJ2KcjIRuIdN6d2XR8wVwpHNit2us5rTutKhBJp4nNklCeXhADCgui0pr
HxPNAV5ozbWC5G6wrpqhmPFmz8ichswkiAONoIaubkZpoSkHACgXBISddTddm2OycvT5Pq+C67BC
EVHpwFuMwtczt1vRJ34MBiuRDuhVrTVk8KTjpkOvuzLa9rVnrKGl7pMZGMd+gMaBEpnEvHUb0BY0
mlus+NPSdaIXVtZ71ai34GMuVWt8CxJjD8Qe9RPyeR6k0m8U41HM1t6Jc0TlmUGFnJOugQtcYGHv
2KIZR0IQeE9Tt5ZZWl63KHbgvc87EdoHa4y3Wk02YSp2uUdYUammS3QrENUT48ob8psW5HRfTmSf
FcVtQeAUrYl0z6Fzp6rK0ePkSim00cdq1wbeRkmjXehU+1C0D7Zp7DP6qrXBTmu469QVnzgYg71C
gR1QKUwQBeYgWtWchpl3vOWRd1CKwm946EbCMzsv+0TEC2mMXrEr1fi61pMVsCXfM+lvGTm4/1G9
aVIFe3ehKD5JoWQzkPEOijPAgeFJPHLnNes20bZ5pz9iEiN8XhvXlgKZBWEipUW1IFCyYnVPHzOj
Q3dohYsBYaWXMuvtwowMt+Te84KN4c5ntSd2FGX27TSgekzEQ0kfkJMzumuljz8HddlDFEPs30bM
xyz1FITG86i29gpD0soMnE3ixTsvVr11GBK5ms5QyqxTKzTueICCYus8LGE5WHSW6HDR8tZWwWS7
l6VWXhQm/YSM8XDUqleZqRyyFnqyEhrrpgElE1gRlFDEIdtosp+sAV6Lx0qD+348jKMLNGMoH0Zr
vhKK/aTrSbAWMTORnvJFtbt1iqQEqzx3zVRu68mlp0KT0ZdetA3rLPHRfB4F+sE0VOZLRa/3Qgur
pW4347Kqc06KY0OJWMFV5L+mdFpqfXUTIg3ZZHO+o2dAtkXbEZMpd23LfBw1XrQE9eCyHiFgVJN5
0tL4BOvSNxMz2jnR3BwEVAWAr8YDkp/wYqiDK6/JniDlmFv5upMRiiCwYDfHnWc8uREUUGFe0UeM
D55RLF1N7EKh3pJWvZhLS0WR09HIIGc7Tw9VqG5Itic22sq/oKzNWMt1DrPubdqWFzEn/JR2YI/P
ZdXo7eOkVdfkUEtIu3NKtPCUI97PHHPaA5u+rzLv/7F3Js1xG+kW/Ssvep+OxAws3qZQI8licZ42
CEqiMM8zfv07STVtSS27w2/tRW+apkhWoTK/4d5zn83JuMG5Xp5bBuKoHnz2Vu/M5yX3Dh6hk34i
Y2Yw7GrORa1tS7wo0DTNYZ9ksDBbKE1Ey5i5NG4nLdFpI5qGaS0pr6bOKM6wxUbX4oAV4Xdz8atv
Sui/ABKYNHW2BzdQ444HjiV/aqCQQclJ14v4lFSY5opju0wrz7z96x/yowgbjPD7DyGaFpo1qI2f
h9lpQDCwaNv4JOeDKI5SRKDa77rx7q9/DJ3odxKRf/8YB/WKieFdxTT92AwGUnp0AZLCXf86lvfC
+C/whl/8+0z+IWUDzObl+vm1ar3ZLtlxZ6di5EHbuwGig993FL94L37172Nl5BXihVJMsh9//9BR
A1qrxgVE32FdWf+Gcf8pUlx53P7Qwv/n6/PTe03eq8b4nteHJA/BEhcirbM2mbe/Zcn6r/+UX/wo
h7ZbWTMtPMzeT28Fa3i5jEuZnmSyh6TRyVXFINX0uYZF9W1686d/lvq1f/qzfnhbmF18vyqRWpwP
jp1lp8rwmb+RicpHizN1HrZ//4/6/v3/6Y8qnMQDQPHtBzEVJ1gbdxD3iLqKq//yrKlf+uc/Cq2T
JEQT86yuKz/jd/sfwyr0kou3OLXGNsheh2ljBZ//+s/51eP23Y/4+XFbWFKXITryU+G+JsGzKf4f
j7NKt0AdhhcEh8iPf0JSZ1ZnCr04JZyADHCz+f9xeLEhk9BXYakaqHB+/AmFKKjvba08Lc7r6Fz2
auPT/Zez61dPMg8x+jZT5dMp3uD3bwSJWlUxI3k8wSaCkqY2Ltb10DCJXrNN+et35Bc/y5X8Gbrm
4IVj/vTjz4oCYLIespZTpHrqDZmk0bxxambqO/3m/Uf9sxi2eAh+P3TXr93r/7wBHunmy9f87X//
dddnr83bfw481Xd9txrGcC95qHRAkpbKgfnQQbIattj7EmzLjUZWDG/gHwNPBGL49aVKboBOyZc+
VsNq5gkMGCqkA3/DRtr4N7j8aM94Cv44GpC8SxUaA1pDyd5Zsvx03mFexT2Tl/3lkpUc3nH/QjtM
ZZoiBZYEHs9N9mhp5EOzhTjGDQMhC66T3xTDFUDBg+NBG2tRUbPXrdfoZc6JUD8yPBzRbMW3UqZf
WOECTCoHIGdizBnK6Yx0alaS0g7xONFBTfJxREast+aTR0Q9bDvP5JySPYKeZUt5Kjb1SEat3uCj
CalPYwppyy1eqrm8HyI0OiVZYIhRbGRR3aFgl9x54jEoZjYW5LYY8XFIowvolC9t6eZKknbVGNbn
zAuxtfCH8fmI7Z2uMy3Syud8lvPGTOg1WKWkJIaPe9cb72e9gunUjVvTXBiMJAjYzDGmbQQlRSeN
PiazL9ouu6P3w6oSAg9J3RuEXV/q1ruKLZYees3oVYZJtwlGVOnVACG4+Bx05XNQ6yf2xp8xN5B+
lzbhpi9GZ986+RWi/H0ckS2YhC/AD4ZNlbnsoW2A6GNVfh4175gKRjX5DH6jerctmbm3xYIOEE5z
LujS0GIFF7D9iZSsmu1cjlvZjGch6VKhbt3My/A1NpM3J2/ujDjcwS17YrWXr6WSzvMmeZJt9Tgy
4dMle1M6NPvaHtpj5E1fcfeWa9ziuxJ1EHtrAmJzqT+aoXVjdkwOWazfmaH+tdft4TDH6tvJj9+a
Rv+UC8ZHJRE6jPa3fUd+NNaqZGfb2XNpJrioqv4SHymVdupkPm22tZJwiO0l3UqHjEWU5Lu6i0rV
ckLQr3jX8o7MFdDW696MEfgt7taO25acdvbcQV4TXAb/q8HGurLG5cbJrN1Y4HmuTeajS+DyL7FT
kx3dn7u0yTrreeIsZxQ4j3iI55b3MNerkPnMcluGDT+1cLdhMGwD2d8urnEWjykRaHrGPrcOwnWY
QY8Y+vRzV05PbgFt2LGrT1JjZl6Ugd+Myi0n471do4EoRbSXCATXwkkLX0IXJKAdlVTco7YQ3h5P
PL3q4L6xvL5wJyCPVUsv2HgdeYy01ToZhpswR/9YW2eBzoadpzFnSdp9Il0R62yDRNFcquWKhFr9
3CxY1SJe8MJDprMzWKfp+MhEAjRjI9oofuBlCLqT3qnRg83mfWsj1CrunB7M3trsKm4sD6Zf5Gsu
2zsRRLF9BXAwujLqKXwG4blpMx6hlQld77KiG2W0hSyJVZzE0suGDq5lLYUfetZ0LTNxFoR1bGwm
B3DzitJoWU+u3daH3pHENNYxJFrGlkaWExyPunLMrimgp3onE0N/Skdq9WNWVD3nTBZp68l2Psuw
Z2Sd2nODI3AMSm/ZBKlp1QzmdCe8k52Ttc86DX6wjgzCSUBY53bwkloxO29JdBRrSG8iU+Cf6/Lb
hpAi9s+vy8vXiqLv2wV6+PK//9J+/56Py5KoNUljR78FVsr0VAn2cVnyJahWkMilJhXcjBL247J0
f1NeL4OZtsfW7t01/HFZur9plunxFUPZiiV2sL9xWRpS1eTfX5aWWkFStGMzRppFotKPJVVTt7lp
EdR9qipo3xod+apRBPAKFLiW1LtAOS4VIzyo+k8SaHhsTxz4YMRbK8gQdghM5vVaKtD4AmzQAr2K
vLnjTohPNhmmc+BeSUUpZ5qtc+nJXQrAfARkXgI0dwGb94l+ShTp3OUc9JuwSGC+jre24qF3gNGF
XZwDtYaappjpjg09XSiOugtQfdY5Qkkn2eWg1qWFhaYCvu5UxhVzspOlqOw9FztASlDtfGp2wcRp
NlvedQbMHYOTX1goQ2YLQnKYQXyfQb+PigG/KBp88c6FBxC/KFK8Qb4wjtg9Mz65DSdo8uwzI3YH
IPChsVZnvQzTjV6NBTE6jrdOo9qPMwz6dfYp5C7g6sXlNLS7vm4gLnIj7KYFnYIjo205pntSgzYT
ume/bqN1Y2baQZ/Lc0Nm8ZlGkjCXv+e7jaQsSFnApSW6htG+rbXYJpCrAVVAziVRX4154t4+FGMv
V1D8EWu3VnZgm3Vpk0ZmFEXnt13w0obuXSKgg8bC2Jtz8EZTX6xyoJmuZ3MgsQEF3UWsjjDNfRkF
kD7SXN6xOoR5OlkHRp7T2gwrpMzZHmaz40cWCN5waWu/jNvgwLJPEn8CzL5KuLyZnm2WKJ43dYDs
BPz/50ZjngkwH3+rWPQbr4aksVgpQWUkV5IpHa0F5u3tMEovpTvSc+DOQXGwyQjYYwcZ/VG46aFy
rfXkmBhNMCisGOUku660snrftGEZ3LqEDZ9pdvQlFGW1cVHZny0AVnwtaw5NHd6x3VT3o743RQXg
hmlkG/XWZnCZjw1FeV64DZz+/Gs5FQ1XzYixfXiqWrYp6LUeeh3QQ4x8EeV/9TS0rtw47XLRF9NF
nkvTb9zkeulc8qDLcNeN1hG9Eh8J8dCNmqTYWvaJzqDPDs2Tg++6dwE1xyjXoGeXK5zXO0SFF5mN
7lh63ctSBadBpvdQN4A5ESkU6jUirpktaqLVMarest3GUfHqyfQYhYJEiDDaUC4fi4zLln7WHx3x
JQ7ieyJsaz8UYUSAqfxixNXDkLprQTrPqoEv/zo01kZo4nkw2QKMnXs0AH/4GnCgazs1X7oK1q3m
fHGW9pxJ9eWiIRyKF3PVlkiyy1I/Fk2+yyTroMqxz42p8ZuGgbPQo5shpAzGGPuiO3ep2Jize17F
8dYbKLS4cfHJVeIuHoh96tLsGry7QNvVPFeiu0nsPkCQtVxFFvhwyoC1QYhGHicbIez9oljvxP4B
fW7glKJsWql8DsfzgD6nJ8xKPurzQwP443xwJiBB+fLi2UO37fLGtzFNWbigM5GEfjfUF/24HLwq
/gTgW64CTSOEaETTHCe3XWZ98hpovf3UsmCscXEI0pu1POBDXEYY3rH15TVn4cpbsmnXvoco/HPj
frs96Qz//MY9Na9F+IsGVfWTH3cu2mWkVjr/muOa7wbn3+9cjetTIREtHauyRefxx51r/OaZjo1L
j+wE9DIWX/q4cw3F7rL5H/+sCkzV/86di+rmpzuXu5vbG7UQDm0aXvenkUlt42EeqQAhH2jkGS9Z
6uGf84JzMdXyvHBakouFnPsXM4nO4mB+dkNt8Ssn+WwMlsamgntuj6w5Hza1AfFHVnW1mZKY5xa1
c/lAFW/PPsbxNlTaC65LUgx1WiujeTWzIH7rehk0W72wsNK0HAoFa6yC5fw2Qhxdb7qshXeTNSbp
2E0CrwYhrMdphCYx6D38TXFlw+23JpWn0HwVbjjhRkAIaMUBW2Md+4MLzsZWclNhcPYDoGdPNdMH
Rw2AZ9as1VJSQEhu2fFaM5aLaPAUMvDCLLODFkaHiVG+b9kNoQBcfX7ZDvBwWjO6qEx7JytxleBW
uKkC97yrImw4IQaqkDXCRdGWja+LMd3MdoKQt6L5cOr+NHXtSaSTuxrRO6xmVpe4G8ZNhPTbw1TR
EVYZG3PzNTW62ziTtxR1ucV6oyuuRA0QzTCRdtbVNqzs6KmM8RB1+MzbIAeFTKiYUUZfOcATX6/Y
semly2oNmths5LfCtsZt5bLSc2ro5g3nIhpSb18ReAFVYgIz5NhrXSui0xCSq8ckANwZ+uhuEuWN
PbLQJLkNcXqzMryemBydWioWR/LYt4MN+mfuK/O+9TQWuiwvGxwZWwquGAVV7k/oOMCQONWzFfQU
VpqgWMHdHbZ+O6Ph+u6jePWtbPzLZQkfOEXkpEBg7Ehh+2MxmcholKnXJpe6jKqtkY36azTzOo0E
iv0brfzPgE7N0/78/LuJhzdWvl9+cQSqb/z9CDR/U+NY+ELSxIBJVf/RdXA42hgy8Uhy/tBe0BB8
dB3Ew+Dh55ijGzDVCfX9CQh6AoARj/2/82H+RtfxjtP9vulA9GhzAGOItm2ifn+mOkd6wV61N3A9
lDWZTRciA2qfsVeTbS7XLLDTk9frRoqYJdDQ4Yw9SEAU9A47Uhg4ZDVkp76sxWrMJ3GwrMI49gyM
1qPeFueYlPLb2cCN309mdcGEovzcMeQ60/MxvTU1EA1mmaCl6ybnLdBjilvTDbZa0hAF4RAc8xJJ
Tm521giOm7FC1J/tUl0b10tWWJ8GPnNfhREvN3prM8fwwO+QxKJloF48Pmp2vZ70RF9ZMkHbFkGn
yfM+uNOx+t/0lciiW5lYadgi4dbq5UAtGqBD4E4iX15zilDnB/Y4NbCccZM10Xoe3XJ+Jf5guG4a
zR0p6hsdr+NCVMWlbVcJxMG4Tu5FsljK/Zg6DrQaxi9s6g2kztYAvBYptHEwh7zbLIzX186Cyw5s
vttVJGqre0AOjWedg6RrXoP32yJXFwfOde4QUav7ZI4LwyAwuE0OMzNIb10u5s2itYMDsYBrqeR+
6phTnFU247ajhdzx4NZuPNwswBe2c2MVi+FHPJjjMfcgn4lvp88/J4LaDP35iXDXlxm5ir84ENT3
/X4geL+hN4YHbbNqUrSBP04EvN02U3zEyLoK2f1+aO9yihiGKyHyq0E/auTfa6L/RJT9jRPhG7P5
jyPBVUsBPOQG9wZYGpZ6P9VE2mAxmirz/LRY0RlatpU5lJDzmOctRVJuB5VNmRBSaaq0SsswybvW
djFS2wiWJQHua494ywIZQU/c5dhWr2lvPhOa4KfEYU6LBs/S3C8RvV6qEjMjJ3xuidAcVJamTagm
B6Xtm+85mypxc2EWd57PKA+ylEG1q5I5SyI6+29ZnfmVq9I7vdLDFEB/wsjkky2sLVL/q2gqT5VK
/qy85GlUWaAloaD4lqlg+lT5NEhi6u2SiFcyRK0p6vwlIlc0HkgYtWb3oiNy1CB61Jint9lcjqRX
fcqIJh3noUS+FO5KQktti1llOdgnizjTTOWaepF1bxCstJTdyxjZ21YloDak8K1Gz70yCUfN8vKU
EJaajMkWqGaAC4sc1cTJxEprxKOn0FflUjHMSS6iBqHDUs3nBubOA9kcNJwqozVSaa0i8V4m5vgc
4shK3fKyqq9laWxzYl5nRzux8N72xnQzY3LG3Izwm2BYQ0PNmYmnwQxQP8mt3fdsQwb0gcw/P+Hm
u68E5oec1JqVNiWXMyctI4f+Wk7BtG4xuT7U5sF+j6vtVHKtUTvDZUiYbaBSbcGukpzSD7fRTJ4G
glICXsjA7erioefXCIg59FOVk2uO5c6KJa+NS2CQnM9rlambJIIpq8rZLVXi7jwbN7Fbno9j8AX5
JD2+TThvad8IrIi+6OwLT+X39irJN1KZvnET3Qg6civpzAu0eey+6+TODYrPrmQVHuTXOQHBpL0/
hB7tL8J/UoT5o/aVyhP2IAAQhDiFPhzgrWFSFcZO4LO/StEh9ZBo8r21pDuJHibV8QwVPZFLetu/
0eVUa9OmN5dO9VQSdOxpVXYRWbzatUpBfid3FZPWroy2YZjDYnW1QGVb2YzUjliN72silZnuubis
Eva2sdDQFLlk/vQFfkHCmCVGoQuNeObebZ9i4pot07ph1hT7jkpyFhqZzrlKdy4CxGXeTDRZSfRz
RQS0SxS0YY2Qs4G2Mj78EgwCQxmx0V7l3vSUu6PBXEULgoPD1onsMZzuLqHTmKsynwERetEwbcmV
YROU1KRUi2V+DY0Fz5JKsM54RVcdodbdINaSkGttdvAiKQAoC0oyKfR8M6c3gII1FY49kJIt0vm1
G+y7cBru0kyjh3evUhWrTYS26Y8qatsgcxtuUbHqSOGOlm4bzYN9Fsc12yi1s+ktxMXwlV55X+cz
gs82aL9N4CTY43TcVfrUQhMQR8RtcPZJxNpgHHwFirqfq45uxoaoKJ0YkMNIpvPclGRv1eMtVLyS
2R9mpIDgSxW3yO+jzF9jzxPI//9VV8aw2coCOKuYxdxM3NS9fGuVjcy08/isxFlW4TBrldVMx3NW
VaRH4kEjA8Zm+oItjSWcvrVJ2YuUZS3AuzYR+rvOlZ2tRjKwSpXFrcfrZirTW6nsb2GMEW4YsMRl
eOMC0572JW652o7LncfRaOKjq41ewCQ1j0sXndrMoPJQprsZ992Y5CPqlvKqxpeXKH/ewlmJXw+N
nO6X7xa+0nklPYviIYLgjMlvjCWTS9nfI2PWfGqSGuADrspG2QPTNnge8As2XX0TKQNhCHKeaL4e
5CNCXROXYaXshg2+w94Q5EcbsAhHZUoEbfAJNhNHReWXuBY56HZhjVJfx88442tM8Tc2tWugB+0f
TWV91GBkrqWyQ7JBG9bxu0WS9psgbmyTmWagIk5uC0LAlgpjZZBqz2M6KdRAsrXePZjKjWlUNssl
/WGwr8f2bAmexvjcjIzrggUiWLWHROT3MX5OWxk7bRyeurJ6Vsr0KRP7TeOg32j4QVFj89FWFlGh
zKKOso1mykAam5h7PIyzIBQHT987ymqKkXKz4D0FLHUeKTNqHPaPToe7UuJTrbtLhY7urF5RkEH6
KDdrpnytOp0/FM4Y+MKyy5T3lbGbhkmwOXrKFztAp9gayiu7oGlbtco/a2GkHTHUWp4r/NZ2MYNo
ZeihH6XW35tT+eYygzuORQchjlwiy3lMynzcNV0Mhbmrl/lSi2TsRy3vszMvNlPejsUWQVacX2dB
t3gnnEflSS5i2eOdMA8DXOisiVz3tTfnebdMk8557NYbLo+EwXu4zS3tqFfWgdPozGbpn6IwWzUM
nNeiMY0H3CecEENNHmIr9tjHL02zDfdFJN+MWb4Fc/iJKwdxZjSRZibWueusdcb/Bg4kgHVauQbD
8HmK4T5YYbRjm6wzgiSssgjtp2jCe0G8cLIZyZ+ttZZEW33Z2oNQfgabiSnE7E+dPNPM4CYNnL0Q
o34ZNyz4K8LN4z7X/DST97z83OJa9lZNydmAXX1bQQ5Hur5L3BZFF+yxLZID1rlsB9YxkumVVo9P
RcfYdcpuLXNe25l1n3s128yEoMwlPYwmOYJxdgU4PWdqO21Rft85pfmZw/UKO0ThZxGPQGzXN5po
thxw2m40wfl5WntZRIh6nUXbF3an49PNT47XEJsXRDgEGBRtmqnjeQDNTgu3RKvGbjf5xDiosoF+
xKX+urTY67MRZl7MmEY51Chyn5qmupiczPHLXGy0ePKt0X3mamEHoN809XDOJ3ePcQ5+6hjdVwsS
iSQGQ61x1abaRRx05+QfPVqV9jQGqTJKO4+tPh1LNrCYyYDoJUIZ9q3wAUkEE1uRHZb4rDGb4xSG
22rUIdzG7nVkVdzRwr7vq+G4gKCVRfwpMyHApDR6rTFfDGiG93Mzd4BQ7GOuMX+ycw5CEe2kFdvr
2jIxVegXo1zO+8Yw/BApvW8v9mMy5vmVEchlHXauWAn01OshAr06qI32yFoQK1sx4/N10Lcuzb41
9XLdyOSTM1LDuFN/5VStQcDkUO6YebUXed1g+jXG8wwrEodSQNhyIHbeO9Fef6fbW++ke8ZcZ4AX
8x1TwoNHtUXa4Dsbf3nn5L93If+0YyoN5s/bsdvXzwROshL+RW66+s6PhgxvqGQGQuwH6Unf5jAf
Ixq+5No4iz++wnd9jGgAbHDrg4tjavJvGOjHkJqsCE2Nu+GEglKjh/o7Q2qAHT8NqVkMq9R0B4ao
ycT759wQIxmKFsveeJqgdPomhK0tcvJkUyWKmDR1kITS1iCn1Byeud/Pq3bydrZ0nRXZsLHPwdmu
g8LVCOy1N6wZ81U+F45vy1icy255tQJ9ufT67m2065YUUTgOVRbcUkTYx2LgqJgHo95W01Bfopre
JGH0gFpkM/JJ3Maee4Yu5gz6xtd0mh/GKD9zzPRUZ7haNH0P8VzRA4DTxblR0TNpeMFmI1tDf2qZ
E/fRyrTst8Qx70dbvKSDeBsHFb4YwJ6YRkrQosy/1DnSplSKy45xzFoDkbEaU3a7fFY+zRHGWGgD
mp85QD0GwozXPbjQKC+vdTskDRU3qDObvV/36JvCZteHxzA+2JVxU7c23rPgbVFmuuLK1rBdQUi+
LDx7u0zJY15DEtaDz1Fh3Q1WwOGTfJ1DRQzK9GuXkGAMmNhUh7Bli8fxO/fE+PVZlG2nDlhJ7Rn1
ugHnmeNbX3fOSFKCKxPf4DzfyAIxyVKai0+E+uK3AagTupkW8Uu4TyMO51wYO+jOyQ0WRp1RFsSr
ZCaNQ4utYW2Vwjg2tfLIACLjLtWqM0qCm7Kd8Aegnd6xETtYSI7XjdHF2JYSa98H3pw+FKFwwqPe
LvkjoAj2CRnjdF6+YfEnAzflMMXjprDcry2WiikCl9o1eJfytnOOXdC13ktD8uIXSlKH1A2NfWZs
asHWwrB2ciRXRbtAJgn1udhWtHjHfNHje5a/D1QX0x6P9EsaTznu1yo+jWair0XVswOZ3TuvGA9G
Tr5kE/S4MdhmN5p2L/qA2lGOqHeCpdgNI0Du3CSMweHmOrUFcDPJa2m0w3HC1XvHE4D4wIQOirB3
uirmst24/VjdhfXwqUWke+6k+oBzKHqrtIhkSnOW3JXapQBCjlwCa0kuLA1yR9fvmz5o9jqOwtva
rgmVL53iLtVRxFVaHLHoru5Kt1t3nS1WS88sL4ytPSxXBXwRGFLxfxJcPeN48wJfGKQv5MBKNlaM
XxA9MBvoOLDPulm+EvTu19H4ABSvQhogZ66PKlmHpoe0bzLFQQhvfEmTccRHWQfUvl2xA+CSfk5Z
Uewz7G+rpXbP0pH6aGDTvWk6byGghVU1IjivuR4NLbiI8I0c3WG+bBkcUhcjCocPxyczH5ot+bIT
HuWiPQp3IaxbSzGGWtOy+ec+el+YGn85Hrx9Lf5n9aam3Nw970rfP4RK6jt/v4/kb4zjmZyhU1KL
AQZw391HNqxonevgXdbLVfFxH4ExQMurS1pJrpzvQQa2mjcq4KmNVBhclP13riPD+dHEYMF21C1N
sjJQG1OdxIQfV0ttP1sWCgUBIj0ngKc8DHHAM5nZOI6ULTt15r1QRm1AYdfcQrSrysQ94uYela0b
WCC5BbSEbNcSn2EfpbiygdfKEI6g8hOrhIcSp3gl6yP9yoGlnHtRKTO5ias8qIx7lDU7Yo74dHQw
6pUB3cKJzgbOx17R+oEhrz1lVh9drIpN0jzKyfk60Stvk7G6zfXk3tFy9o7pQoylgJZGPf5k9lW/
jrVqnad06UlYYdUtxbZg8MWyrtmNKaRkvJCYsPv8jDj0EUZ+UHKfYaEU62AyX6psEPN1Mg7usCXc
eCTxu1SMdjIbZAUkRMHcPQBR7Du9baUhcRgU8l3n+MKSZmwGhYNPFRdeAeK9AiCTQsb3MvnSwZAP
JDD5QGHlje4yG+71tnSgz4+eP3q0jcDjbh0FpNcg0yeYYlcTXe4Gu+Hgt+Vwbgdte1bL4hOkg6RZ
F1lUyo1FAkG4snOTXJ00BDcdOdaaLeGdjAA3Oj2b5imV6rp+KszyIY8dZqrLVF5w+8++cDwCgSB1
hhWjX4J+tHaXY7zPPOdssoInNl8U+akxE7SabPvClAetB1REWtGMx5QWMbDxs8mMfQS/z6MbdvHZ
ELO4hXJD1L0WCAVayE/4De4yFzNvXtGgevh7zXenb6dMv8QiYMVs3r3A2ugeF32+li1oI4nCk5oD
63BTydsQL3FQYypeSG+vcRkLfNCUANdW4hwAbezSod8zimnXA/7kzs1PkweNY9Jpp3AwmznvPEuo
KLF66BXJo4XV2Smj3cjVBpiKuS9m6AlTdIU5usEk3WCWjjttryn3NPuYCmACjuoFa/XEtHUrNeY/
kzNfMGOQ57zlyQpJ6VuCNXto+N3EjM7bUL5tGwM3ArWdgaEb5Si4UBzeXZ8dFyzfufJ+z8oFbgjz
Nu7HT4WgyWvvml7TfBiI1yH28QobeVEtZ8A7HqSXkLeD0bzFcA7fqWNKaBxh5L/kypMuHHtbKZe6
gV09Ur51TTnYyV169QKiomTOBs5eIKtSG0j3UecyK1uxLjHD6671yagksA9lkw+jE8D1x7oZ1Rz0
IVN+eqnP21o57GPM9AGW+4TEKADtLiFbmPGVKx8p0YWnfPpoBc+zjP8MA/+onPxjkx9crP2DSpxW
Xv9pMmBzK/9/+o4CwKw409wpQEAkFSwAIthzAj6gsBiLNgooINo9tITnFtDA6A0bZHS7xHBfOkAE
eQ+JrOR2NzRiwkAVNGH1NCt2ga5KUDr1CxesgavVJDPjhEVKZTzFoA/GtiHHHRZC6ZrXBnAEtJ7X
uqIlIIA/WgP8hAmQQlA07sGDyx6BWIjd9DHR04tQtvcOoe+rLJHkVJlrvcqOEZCGVPaPaW7eNore
kINxQHoPFLc5gmKjGYDzEM4sZRPQD5len9egIHhIzkrFhoiARLQBkj1FjehByeV6vQbjmW0HwBJg
6s+Fp50LA+JEPYqDCYJCgqLomvqQg6YYsRx4S3oxgXbusuW6UwwLJ6+PBlCLqeKRdSnAcnAXAdiL
lD2KWVuHDhxGa1ZnEXgMzYgeBnAZFtgM1uPZimBflkf4ZQFrpAA2NEXaWEBuoCa/IL7jrFAsjhYo
R1Sm5zGQjglYh6cweTrLU62spZ8wSTaHeFsA+IAycx4D/PinNvlWm1Ar/FWvrGqTpnhtvsS/AlIq
5dRHfaKZBB6qKkPlTr/XE7/XJ0gaAAuizkJGTceqdpsf9YnFVyhCPLpZlouO0lh/9MvGbzTfyFWo
UCh6MGT8nQJF09WC8o8FJq4jDTC0ZTsW1YnUDfnTAtObLFF5PH6XgjXA2lKrdpee82Cr9fvwvonv
6q4BaEH2AqT/VG3rg7Fuk3sIRyCU3/f5hVrtF3UVMj6GezlcT+/b//6bFCCc6gVhAHNdVKOr+pto
wCC1qIZHqdQE6BYapAXdu87A7TqIhxaCyFUhYFStlnBJ7vKSO5xuL9H9LJXzbYTVgZzeJIm2VZWh
ikL9tSeQhtGQ1TsPhTYI8C6glh8qgLZIG61qmX2zoE8ioa0u8F5X7pWRDtWzkROQIKzK2uN4hEOp
DVlAb6aF7ipzk/iIMtglsD5Y8tB3YzvwvVIHPShzPzeSHtuzk186djHc5MjYNk2fgryLnWLY9yKw
6HBr90Un9WeBZu2VzMvgBE8rx40tB/lr5twIzQWDtnR5vM8aZ/mc6wKYWmjObeHPkktQ3/aeldCZ
4NWB3uMORrezaJVFu47B2j1DQtG0TQrEG7OU1kcFMYURQgtEE8OiuNujsSzeHo8V/9lcNeHOYZRx
3TZD8mJ4RXvtOa0DbZHV2ipDrXaXj9WlZ7QVLF/Bq3lViHCQm7BVjOgwKPv6EOlaH5zcWE+eU2R3
d5MHaZfSqEc2PRYyzvbSKDCuCbcKkkNN9Tad5U5sjm/26IZvHmCyHXSbAHpNRHBJ7MFgaEWLqUdg
Xk7duH2KDK1qTjWdHFdUt/rn5Pp2cqF1+OuTax2/hb9qqvjG3w8t+zeJVZKuRSqrhgLgfzRVHFrw
6pV7mXXIN6L+x6Fl/Ea/o9qtP/qtj0NL/40OzQA1B1vX/btd1a+UqKah45828GZinJNqCPidi5rR
e9RG8GOODOBRR1vEl4VkNdhWepbHPLzQ7YfFacgikZUOW6iYl9ue5NIwKqj7IN6+plHhGx1Sclm/
oCTQtCuQ7yx3kgEg9aodCu+Ul91yFhp9Fh+gEOl3YIeFddBaiRPN80R3ygMjOEtnW3YbPU0T7TZ2
oHSfc1xl7WePRcp4bAwkFde0Y7vBLrI3ALRgQAvibVB0u32CYQqJkfeuNurquTuYmU4nsixRij9K
SWkX00FX4NSRPNeV1Lap6wS2J+i5TUSGjN/UTbfp5RyfW91sXgQBq7xV4gXea98CN2WoGcD5R16D
iqCI+qtIt16xn79Ag/lMymm+cUxW4ZVtvVVd/mZ7pcZUMK/NL4DSfJdVg16H46FYpLXtUtG/jEQC
rAZdMiod017DczFie6EefdQEgxGPQE22Svawb41CP0RY0S5Equf7VGucSwStE8qxqt6ZStPfDHys
87RgXeJWCA8aShxvCI68udXaRn/Zji22xS4/d3uPCPigccgLtZZDajJnjXX4IqYXsYmp81UT6kRH
zm6C5haxqVOk68r13lwzEqTXLvtMoxhEILZjVQriqiVoMgzYC7fm9KRccet0XAaWktau1DwYMd1E
8G0zXqYGWZqSyErfy6xp3WAoh3Fe6ScsM+ktkmbj5v/YO68ex5VsS/+Vi3nnAU3QAXPnQaK8lEpv
6oXIqsyk9y7IXz8fy5zOqq6TfftODzAD9GMZSZRERezYe61v5ZaVv8aqqPdZFeUPgF9rhK7VSz72
8eHfq9a3VYsC5+NV6/Tcvv5u1eKBP1at2bPmaAKIlf1VP8o//Vi1+CdTJ2LGJLaGAcX7Usv+g3JK
x8RtWpi8WdX+VmrZf+BwQxFsav8N9ve8Jr0vtPCJuzpNJ1Ofud/6r4VW0w1dlVnjcFaLyzoQqzG2
vXcfym9kzFzpu1eYtWiUihZr8DyCcc05xvv9qmgNdmJ0dtedGxHvI/teUc8uACyx1fzLoafd8K0z
+ZeAjq809Q9fcb6id+uwzlE9oqDqoMwQrOiMmMAWY1Pos8SgaK6GunD2fYvPxkpMf9FYayseK4xU
0jdXbdbajEdy65PUXX1nGRy9xgosI+NmY2E4IXKk9D53ULiUtfrSK8mbK5XHORK+AK9OJ5/uPsFV
ZOiOKU0ePaRxkYI4z8gug+5nbRDKRWsT4z/qdwQf/ijzZSQjZvR1R1TupIJXwhmvDMCJu+ja6fsD
asJiYUf9Ual8viUkYJnvzIe+1kNjsBit4crHPEcot7EtCu2yDzlvOZjWVFpKSRwcCldboNy4qxUa
RX3+qZ8MmL7htsdxtNJg7Eat2IjS2YfY0BehhQFcKWt80eF4KsgYurFbamHKX4q/m6IKra1VMSyG
5batAGS2V1OJrmvZZTVyvTQQx5a+CJmSE8Vr006In4yKA6NztNh94Psd6QDtZMJO5Pog+5IL5AkP
TCGQqFFYgfAy1rUefSE56iVVCnM1mOIkS4Fp2fD6pDy2/rACU7pDYHGpTtWS6G1qzvHIsOnYOXXh
tVOmMiQeDk2vPlRYJYWgy5fl0x0E+oB48jG5iLr8Mk9abGIsqFOyV0loXUhyrRdJiz6qkg7OsZ72
uYCO0cT2HfstPSBFDdZ6VhIN0w3tJvX15soh1uVIVjuBII6OMPCFRL2zCJ3rpqs1tFIYOMOwXmuA
0vw0uuxy5Wbo83XI8X2BGmzlRC4H8/bFDtlrNCu+0nFUu13WLUKpAWG0PChkV21XUI0SsWINYjPU
/Vplg2gteHea6hVFcTPl4jLzK1DxkkZRmyb9tRzDa1Tfu5pYGqd0HkmZWkrbrAG/KXR3o/otpxmK
yHtDJg87PFE64IhAxvWv6hAcchCJldDQrtguWM05/NOIVlC40ZgFl+RsnoQZY/TKNlI10c3ky076
h6YptrVJHwAMArqyC8yynk6DgoXiaqQ9SP+TyDVD+Guma/eibkDZQQiqEjqnaCPHbUJOwK5OmT2h
r2H/VPZJM91S+DPHTFskHcVN3KteHMM/7Ri6AaDUn90ufmZifyqqlFRShEtLGjrjwm9gSph+72z/
vel92/Q+9GjPA5A1rrEvUfPldxsfD3638ekObBmhmjZa6blb8OfGZ8x7GHOD2QYGuok94Ue5bv/h
6kS8oYX/81E/ynVE0sS7mQio/zUbH2U626s5P6n4auV+t0mYqao6sV9P56l9qBzEpz8Oc3+5EfHW
f9mGEGE7wHEFOwUv8ctxgJmdVcrS0M6NVBa1ingN4IL50vff7sS/fJ2ft/DvYu93r8OJ6f12V6DB
wQFtameTtUGrj4P98vEOPgvTP3wnv4yLAq3K9Y6D71mX9qIXd7b7huMVnS3Gkn6Fd3DZ9E9lt+2i
yxYdrxa90v8Igku9uGpzfOGEEVVorAMMw0gGBeEeN0MWehId7sdXOh8BP7xSbqz3nwVSU78d6vmz
MFZ0RgiGfuj6aFlo4jzAEkWfvohGMip1UkETpLHR8uMLmPNj/+4CNA2FIa4WIl30X0xbOebCtlft
8UyZHWnYBuv0mKBCapfj1y3SxZsP29chJEQ2C7MbrrV0sGhOFFiuVWVa1kRyLfQS08q6DdT9wAC7
3qTZo54Z+8FXEYnoSqzdSSOLN0bikhDhO+0ij+NVbdW7kmEP0NO11o5MQMZNOJ17K1plAUhpHD6k
QmxqVI+Zfgncj7iUx4YVP2husa+fjDYlv8Dyetxl+gCO2TTJ9kppV5VeYt6ShlF5Flq8CTNMNGrL
DqCurc4ixe1YPTYx+gsFpsqQH7RWXJFmHcts00MWu8tMYjiMyVgV7m0r5t3M5EjLPmxGgYAJVzme
6mRiVSTpE97BRZbhs3NNv/ESaomPvyHjV6ARFe/7H/4cDvz+FkG31sStbKazujG2/m46tg/GBnTt
uVlox3bL4XVFCMVyXBvLPYendeHJJ2WXrNuNurFO0To+fXxBP89i//7nS7/1/fWINO0A63DLFsmu
YHg3eDVwgHWlfust/eUy8bs78/1yNC9X7xY8xKJTGjLBOSNKTm/lSxUgiVwK3aN1+PE70n7+iL+9
pfc/gl+7t/xiasON9HNIjXEJRrmTkCgWQ0MHcBmcMV19/IK/WwGxKNMydlwa2l8dcu/eWmZl0rZT
Qz8PmN7z6XOvXH78Ar9bAN+/wC+fHXNSGqeBrp+b3uuIhgP4w0j1H7yLf/Qiv6yyrnStaUQecHb7
w1TtW+tWtz59/D5+tyW9fx+/LI8jezWOWVM/k1SFlnVgunrtxhcuJvuvL/Svliueoi910RRv7f+c
n/lLUY51FITt//r5j823PwevxUxY++kPq68ajKvutR6vX5su5aHffhDz//yv/uN3JcftWMJse37J
ohyNQltHX1qdauZXlQdfy8c9gX3xXHVR/vuH/lkcqURWwEHFsjnLDGcFxp/FkfYH4eS0A+DV0AJT
qZt+FEfOHwY1GqYYIDc6Okd+WH8rjoSjfX+yrx7VH5/E5bfjPh/iXy4Vxlf2309tAYosl54FckVj
DiP9ZRuzHTWTUoz1eVRwaJYLvdPYlvLciQGGhPk5EiyFIXJxy6w39PTNq4rwPGYi6rXhi+uk7l4L
lZallCEg+/4Q2tq6N7oj1pCl0oO+zrWjk2vepBMv2gtJhqhxVFMU+EaXXWDEXfuBfWxCZV2MyhUy
rzt7zB9Mul6OX9E/c/BiMQcZcyLGCy8kQHdhhcbOdMJ78HRL8q2uxiS96AhcgGh/gWAZLYYlGXlO
zCg01MvBnQkbXOEdrdJ6+OxG7cl3WeVr45MR0Bht233uW+vWcA+9qC78MLxw0XUjx1oGYXnRgRg2
CoInpP5gC3MbAox3ERMqCa4wLb6gKlshQfaqZvJCtX9yo+YyDLtTMIzLvnA2AnIzyPyLWi9XifvW
kAEwuy06IPzdfnKdZ38Adm6JBw45O4WE9N5siLqZNkoce1k5LayyvhmbEciHjM6BaW8TmyyG2Loz
m2w7jc115rSfc12iiMsvcMUee2t2PXX7rB63XQV1JiCsOy6JvoLL77s7IxDXdojfx1HKbWvnOYlX
wynpAJprI5NpP3k2CoHTyFqGYBQWbFvnTmmPgZ55U9Dv6gmctq1cx67caap/L7IRkY+xsvJIW1RQ
xP2ZVx/6arWch9CRkw5ra0B5n46d7xWR9Wz3aILQ4m+c0kR8KEtUCXRgs0F+xnDhBou6pjG+akZ3
oA/dOHW8xXkc7toCGspZTJMk+ATAu7Hpa3StLtZAr58VlLOUsqi6dJ77XCdFW+5zC/NTM0svNRwn
J2lOvdePGrwSSRgVXXKdoM0pvtY1Hbcyp1WkGds4J38VdpKz4i1Ny1xHQK7NEtC4JBatnWWh3SwQ
JQXEBP0/3kRirDxSG6ESGIRZTbO0lDIKeETQ3Dl1q64Si4ItRomKrwnEZ/w2zBJVV9FvFTSrBb4Z
tITnSTfXAk1r1SQDLWF0LAhe4cOcnLh9UBByxKd6Fsbyf5HIlrTmDVSz0ayeLcgqm+W0Zd9w7p4l
tggIwPmX4nNArspCnYW4ZYOdEmMkJ2usWLaMaWCgoOxFl+FTQsqb6M4rmMFP+ajfmWh9uf4QTaTa
LLH2pZ5RIqwIZ3GwmcfYEhJK7b7UgDLUnuFE5x5FMbiXeyHHt85W9zGKYxK1SAtTcDigRcZZtnKz
tLqgD16ts1mwrM/S5QINc16GARympFnpYW8A7sNSNmj544BD22uq7EUpHIA+cpgZ/EG+jhO585V0
E6soN9ypf5oK+D7wy8+Ran8Oe/lZip5elsy4b20LMSs6CTtMsccwQtEroijKFKWMoW/8Qn9sSRpY
sExhJQPuFHQNRXT0OAYGT66IL5FfZZ7lIpDu2s9KV3uNjrtb+ipBP/6DgVx1OYJ4mvQO2TesexTZ
+lK0OD+murwN0UV5ajyOxInxvUvffzRmrKVf+jb3l7GGCEbWMm7c1RQlI9wjfpY1keJcnvEGR1Fu
ej+Yo30pyZNowMJf7QiVsLi2fl86zVlmEREJU4fp1tgNoUrYaH+fq+qesHtCUhQAJJGCf6lT5TEJ
1ZshaA9mHt7i/CMELCbkpI77hSMGw7OkcoxgKuHPT+7qUJAggJLLS+2S5LQwTPJ1PTRBCMpz9gYS
Kkx+XR/uBMrlMO3FIlcdZUMGDg3VHE9N3mTFWnY6MdEjsyhiym1NpldRwXnt/0oxsnktZmxr83Px
8f90LUL99nEtcuyi5j/On6Om/F2zhof/qEdgzaJVNSG8ghrB8ECJ/a4eMZhcUHm4KpTa91MKWLMu
jwELazjMZV0e9aMeEX8QvMXDqFS+T2R/KUA+Kkh+LvCZHWBhJ6LUFTrPh+LrlwNFrSOPZsoQnCHz
Lxr9EInvAJS/LHlgnv98cgcb7xg4QeCt0JuGWfRLbZxpheqW6SgviM7ZMZR015LkgnptZ/IkDWkN
np2PzYb7l2QIuuOI+FuHMDnysXBEtq51smvbbXY5yNxTVytOtaTtbVUny1JUuRKIbgNPLTWkqiQH
43Ed1BKTQEZcJuXKRqJG2dTEiawGzdI2/L7Y6YqBQ75VwpjprcsYnsWmhBrndaBFNxF4MSIE6iJW
NnkG/vwmr6fwLUNcsja+wfsdsKAr4BAz1N9N+dNKKwWi2VBkqnHTfk0BYL+trlrJVUTVhCNRMxeK
DB+NUjuEMgTmlrICJaTwGH21QZp7HDpLW9itctGF/b2ZGLeV29zURLIEeX9vYbairVIVYI3EsarF
KhDVkegbOERBQlIS4L5AWgfsd8SbZg4e4mKD30AlOyvCSjHukfc9lXFMLFBqk6hVVOeaLNYt+/yx
k+rn0EqA9paGvRQ+Li8n1V7DtABD7LqrEYHqAn4gecsC62crpbnJDX86VGN56PFwySzZtsSnbrLU
rL3ImODrlVAUo1PGyHTlG0RpUdxtpqne+XV0HZKnuolzE8uuklDg0NsKGm2XN7Je1WF2U9TtITTk
gGxXtb6MPR65sQ6GJValtSy5VaUWMXlAvEMR5mW9v5NldRoE4W1azKaUME2GE4P3MYjN2ViIDV8K
oLc5qc257+pe5gsGvWN7qrA54rWpd8S7jJsiVV+F1b1AVXJIMbQywAIZ0uYQMulVmTsZykYRmfTx
Ed3ZmrJ3EQJsMK58SZRwN1m4cDT7rmUKnYagUx0isv3EmWkPR4LRr/qcFGpMHSROrhooEJkFT5GQ
po0ztLpXGXzweAG3jdo/aHOKd2kGHly4T4iuToVKgE5Uyz0d1suJJ+01NJlkd09C24BsedYbIJSK
3GGbORq+snXte+l/KpxpT1KMszbjYFXbJj56DYmx/Awcl7m30yIWTo6mPl4GfqwtDT2xFtAHn9JA
fzKQzsOW0Y6uyAM8f+cq3I6ZgCUwMVEzp2pth8qtI5s7kfQwIWlImCH23B4ZN8HHqHt6ksRov3Am
A5HVa/elEt46TnanlMViyof1XCvrttxXrrKXUp0WTWztkTxsUitla7UbD/81iuJOtNdiiPe8v4MZ
q5/Y7TG7GjR+ScEL17pRxhcwIZOtVDL9qRgc+7FxCiB9chz9u6z1k2vp2w3HplRbCTJ+ybBvoc4q
cwJT2gbLsCUerNIV1Rv4WRz70owuOjGhk0/r3m+WXWnNvzDw4AXWpbkkrHzn82SRfBLiilaoTlZ9
Y3GcKf2Vn4JFboXbcDMbBDIR7HvAqB/g+zGvW5VBpFENlRf0pbPQtPhANs9NViagA4YCanHZEArv
ikfLIo7N6r2qwwZsyybfO5xsTn6J+lxO7PSJVXwWAcZUqxpDfnJo3YV5qwZlwuc4JptgDI5xpk3E
gvpX5KF87qS7jP3Yc2K9Yqip3hAj/2QY5SdSjNHUxds+bt/sejinJl3MwA8peIf0SY87iBr2J46M
C+AKRPZqaDD8Iab/3OTOIkam3fimN45wOmARxJX+klmt5MxhenHeP/WGT7ZVS1odmHMM0euy5mtO
Bhis9oOWN/dmxyFUKwARyvhGpuMxd4dtWzFUVYb4IQjHXTTwE5Xy1PvZJshod6updd220xlr1ZMM
zYsiFktH9ADN66U2kP1iEyXZC043UiW6QiDGt5JPUxU1eO6sDa1SwC0pR9XWiYj3lShsyCddxqZ1
A7OMTzDFLRDk9m3VR/vWIMi1idQndgJObLQTlSi/pCBst0UcPJhjhSBcrbdmZqxYbjyqfPLgePdZ
aB8JIiQnOdjDZHhyyx4mUrEsneRsmM4WCfOigc8G3Tp5VhzFg3Wy7UjIW1Sd/6y2yZ7P2osmmS8Y
7+xFN141pcplimYfqwrjQOuTj2C454Qv2v7GJ9cQe8q0xudYLDKY0KqQb74Kn21ENaxCV1/oU3Ry
zXRT+dVtljNFTvJi2wd9BW09G48a+bCxrpNNF32yfLgaNQcDEO3tOs9UbVEIMVzitAkXDiGDq8Sp
H3NicdeK6pxVF7TlkFfVTN0ET4mzfG1a1heAKhlGtEB5HErmqjEigtWoonA0RJS+gJfGrW5kIXmz
o34awsZ/e1effe/DfEh8cyGFMc6lCsF0qv1K8tISU8uy3Fcu4piQs/vE/SzMzf/ZS8yV1rtW6chd
bCX42i7UOaOaE3x5lvE/6Jb+0mWcA3h4GxYuIyQqmKB+6WjrejfC9oyCszqwy9tM2AiFugWm8/Fb
+UVY8vVlTIpWpif4e2mX/fxWgiIeDTvpg3OHh6Di3NmQMqBUd51AV0JGW8PBx/wWlPKv7mv+/3eU
EHxJHxwlwuemff77jub8qB8nCHzWxgzFokNtknRvcVf8eYIwwHYz7cVj/SOt4ntHU2h/YLM2KXIs
es/fSFrfTxBC/QOjCVZS6NzfsXv/xAnC/Pu5D4EZXISGFokOKuecn28XfX7xMq1S+Nk2pCjBSV4T
wz0lLSzhSjmXIRtew5qTpLpc1CMA2zGAcQyUjS6S81p083Lk3iKhILxMY2Y1Gm65aAh3pU+zddJu
bbU+YAZtC+dolcG1Zk5ASLuhPTVmu7Qi5AsG63cjq+fQjk9j273acbgaaJK1SkChoJWnSoovSPPZ
E11AT01BMkaUddu4rLe16x4aqqOCbtBEPB1W1HChmT1JbsWdjZRq0MOOAlREjP3055SRM8epR7qP
5tr2/W5Z4sHe1FpKYAON0oWwmj0dVULI/fLQ6lRiRrxKwvjG7+lT4ckZVn0pwYAJzlxOuR6sTCVP
VKgHw6aNOzkD1I9cyxdKZp9dI33RI2rnUWc+EgWJQVHs39Zp8ZaWnfTUfFA48senBHKJF6GLXBFk
nIIXsZkyymLE3+2swA7uQ7Ol3h7Su9asFcSLuQcT6yoEELzIHXePgp4Wldme3Fy/rcJuA/TzCv2U
surmMoiVhx6D86Ypc1mu51cyzLOFcNynONaux6ZUmPwWNvp3IyOm2LidsugJRo83pDj9sPOwQUbE
u2JWiiv1bc4R3saTxNATdeMqbCyE+L5x1bXhQxhz/QEMZ9rec2A4OXGAyGCS54bAukUHPE5o3abe
EMC6jpoI3qJmLQlTXEQqw9/Rd3NoZuEjPvlrWYMKL5wSEY5BbFxgJ4sqb4HJjC5evpjHpUbrenCj
xIY0lnNROFQiPt97A/5Zk9VCzconrYuObRwd64jsPyXQOF5YNP+EnqNhbUh7xo/eErNQkuFRwB1x
ydE07V2q0H0JmuhCjYunKq7AD6WcHAju9aQAxTFwoUOPGU9L+22lqZe6DkvHHGYBLeLfoNs1eXnX
Kf2maHKsP8UanybJxlkEH6DpXWhKA1aNNFQ9R+0fKW5em55BQCw3Q1SO1F4wv3ILFM3IuxrtywJp
2zJx+xsnSdcQXarpou1PvhKtR9XdBTI/a2Z+qff+lgrwrHTU//2cuo34GqNUvUQpNXn6BPDWIvCO
GxTqjaWEPjXxDJDjSfPMLJdwIzJqUUROmdq/hYlMPJkZ9gyd56eaNJ8lDbChcOiTy25XKFW8nJG9
Gy03d6FG2TThX6uxNhnRwslduaHuD1amNGDs2CHwLsVByMYpI4BLty/8JKa3KV46k9KyA2BWGP0j
HpQv+FDjVdFg+QqM4XLs4hnEYtE5bK12xXLUG0sqT2IQSSZsD6w9OCKdkvmArGgm51m7M3PEWWuD
8t+8g2nuOJsQnMOmE3SVg6HKtYW0ZT3hoYe0v3JyRYA26BGzb5kqjSQWG+AALnDcjd2Nq2ZaezO4
tWIcOtmBbTPxdT7Wk9D7c9KW2yJotWUZo4orRCLWUUSOZaVOz1odXDeYa5dtIvdC5N26Vmq6+Yp1
MG2J05a206JLrS9VUTQcfi3cZ7F4TBTLWYY9p2BNnay9UXAzJ7mDPAMbNVt48an0xTN2V91rHVQG
xlS90VTvlwbm14XIB05xRAiBIcKaPybyNJaNJyM3XielchJ5faX43SFzik99NGAdNNDH0fFsNLoO
QWkS0G3IPaW7qQ4U9nb5HBFdas2G6FY3IUqjbVpg/rlR9fjCb8gNjcenNNTfJk3lWQLzLekzWqqR
p0x7fZSxJ0yO00F9nUiWHjVUOc6RK3tIQ/ukAiDyXFk8g0fbhRjxSJ+V1rLCKgfFLruw7GTycPoH
K1VRrmjV6d5A/jfixu40QddzTUhGfArl1s6Jh2w4bW8M0bO2Q7Sw3cgmkZQSmxrytk28yQwe9Brp
viNiEkyUhCNV4g68+EweStytMbkMBGCSeAYTseVAaMw5k+WwAkhxLB1wGHQn6L5r9jka8lOX2hA9
wOa7dDCarNkGXftsuQPwvD65GekUrXAjpSvfZQPBq3nnd13jdQO0x7TYx0rCNXbTY1e54ZpfHYy3
FkQB5g2Yj0X72rjuHQv0WgW5l2Rhu9ADY2vExR1Hm40S2XIJ7H5XDQaYpfLaNYvPERsdDQ71Qqg0
CEx+d30ufAaSWr001Zrc854toR2CBSb4mPZIsnOBQtJ1ypexo1ebxoyGZSSacxJ1l1Qi61xv7/uM
0UVShXBadG7ATshVooIHhxhT4SUgWlWBcba0+7jwrKTfEAirbSyUvruWD3SJB+SskrxD6dvuuxyk
XmW5e7uRdykeYbpUbIIsWWslmoKNMmgk17rWEngdAy5+aYdA0y8tDeah0jBBbXM12016aiygaxI6
a1Q+kEljJ0R0SZTWvaIWHGpytKoscixw5rCdMp2fhOlc6ngZGFgxY7AK+QWJ0QOBj9A27C+TML5I
S12XjfVYJMEjnArLa0n98LPyUS2crSHqmwExqxErNFtIuVLT8KDXw3OAa6Sz9Vc3wYbSRVeTRmSc
26o3uZgXcbCdrPXhvzv438JtBFXoB2U3kSjP/7HEYfKb0nvWJlCV/+f/ULBPohigL46YknTVr7jX
P0tvnaqcuhc3pUORbfOoH2ICm/qaqtt1SRukdz+Tan80760/EPGY+lwtq0SQav+UmxPtCKX1L2oC
hJ6coA3Oa/Ol/Fx6EwFXwJR35iS3qIA9TVx2rcPDSWX+ENWGs6LPrnF8A1GTEuVFbEm7q0ztrS9U
NPtZNuwJLDYWMD9jr1W7bVCwy/J5APpBlF/kHVwClp3Yjj8PPlhO0oAZQOa4m9M5CtyeQ8GVcnQv
wyq7M+fQcBYRIr5oWo8JU+qgLSjLHsi8vs1Qh5ztmVkAJW+gBIJjoNLG3WegDXxBIk3iuldOAlOU
2dUrUIluHejKcJtX7hYLyCEu5bhWZb5SGnldaRCfijKlwqouelYCuuEbU23iZW+SaWLXN2HD6K4e
i1Nj2mRjt8YmIVd26QfNl5EhM46FoF/ZgEWXRuRvgqi6ASazDiXTN5c44aauo12f2p80LbTZ14aL
PiAo2ZmCnU+m8rKTRDQXEWlXSRd6aT1jlqZrP9DGralofDRd1B/SiNIuM4ML8jn2rpPMvAW8q63y
Escp88GKrlFQRJthAnBb+TZdyT4R6NoV8oDg5ncpltUgR7tBXcDhinZba1wzFL8umhfdKd5snq4b
+ciiqkyWodY8h3Ak4CXBgRB2C8bAmImOscbcGrJG2iMlTEW0hBW4dQr3mpELtMtM43QUy5VaaeUq
MovG07mHNyC4b8UEkS7pXc9RzDsSNN191ccoIqh9rcq/UGfVPGE1a3LLD03RXhL15bWpuiFjfF1g
EvU0M3pwRSM2ObYPkghQp7pptZ4ivF3V+MgYfS3y/pMYRsLLjf66bxSU+tPwyivLlTTS196utDOg
KxSQ2ngZSwfsVBKeXNy2x96oP2u1TxlRazpDZNwlIYemVWXjoF2NeVOt1Gltzm4Upq3lRdAr9r6c
vSryq23F/mphMUoUnIyvXhDyD/veNEjPtikv5XZ2rI6mAfjKr59cAahAjDlmk5KXYFCPIGBbDyPd
YZOP2IFop2ThdGeUBWBoHbmMUdo3TmUdWm18TcMq8ehEXad+GBysqWdL74nZQ1zikjSdWDT/8yZ8
iafSRXlhvyC9CxYklkNO7AnELbTmqq0KPuL65GP58OjTlpBUaxhZSEmqhJEQrHPucAcmixx5hCRo
KR+CcR1rPqdF/zKtx84TWauiHOhIpulQKfpTeqj0XF1NqlVReHD21HoYY/l+iHUcx77+FJfMuS2r
bY+hUNSTgRD4VVX95LZQRblNe4e+sJaG9P6+Lsr/bgqJj7VuBbfz75pCPOrPnYntR6B/IsnC/J7K
9ufOZOC+BYdOt/NHqsKPnYnANshEjHttjdwF9oy/7Uxw+UhY47lArzN2tv6p8BjOMj/tTF+Vqu7c
l0I+z/TX1n9pVSZ5mZaJGqtnWrIMaEwIkVhcrO5LHXerXiREEc4xRKjKKRg1995vCYH357Ai07Q/
t1l6Y88xRiCdvK5tCTYi4ahT1F1D4hEQoAA5N4NiojY9f05GSgzt0zBnJTU6qUlZVe2qHk3IFJ2N
VtllxCshhgAfTt4SvpZq2Y/Ux3bjbHNCmaZB8WxCmtrBKsiCnC4RD0G1joZr5OUIzCCnm0mO7g3k
dEHokzKnP/lzDhQIQaYkFkTLx5SkqCFAYhKb8XUzh0jVVUPWknnIVOKlYuBs4xw4pZbiHM4RVCpZ
VJNZsnt1B6fxX0p3OEQIU/U5vErMMVZB7jPTpF5lH3ziN7fCBKU9s6fNhD/Hm5r6PiIVK6DXtSA1
p1qSnn0nSc7qZrttAXsuSZzTOIdrabwHn7StaCqfmzl+q/eBoIOcypahXjHNhQnuz3FdNcO5kYMI
/sVPjHAYN5PsJZ1q036N+qKLvgDFunZIAat885zoxIKR6Lnt5qCwcXLvYwuoOglikAo36hwp1pAt
xuBAcIKQR4fUsYFx6QoW+mMUmgSSzdFklZvcV3NYGem3jybpZdAWAWbPeWbkmumaERzDhG00FKGX
k31Gb6ZdaqShNT7uuYZ8NJ2cNHUOTONs4O4HiwxM6AwveWDfBP646ZJBrrIi24+F/tWx90roxmGy
ciyK7QN/t80L6gXROw5tQEZEYdxe0lVLj67Mbq1joc0cfZt6n0qPyEo/5MDVvGVatY3temP1HFvw
EwRr/uNJ66pVWXQcUZO+X/RKc6P19YY4jScxahs3AJxQOiYtR/BfbVFA0sgzrBsh6J+GdOp2SpcT
bIdx1gwyD3CWyVSfSjclxzPzMZ+PxkYPikNiClhSGNsS+HUiGfZx2MbLsB4vamzSeNgOLfUeE/LI
Hr90QVE/hHk7kyZc5AFWkdvXeqk6+A6cOlOu1NKtrgk/4hSiyQh5prpmpG0tOt1/SwL56puuugwL
OrRqZe/tXN43Vv25TbpqURbFlR24GyVMrqC67xjwmkv6z14pQV4YNizqVK3XjtleaEYqeHNoA2z2
LEPG26KVYgX0fIC3Z0/LuG/wp0eZ16IJNazxWVoMxqX85PjOSnXHO75oJk+xQqStcsyrcBMmJCsw
67LmVL849YDUb+NsXCdOzugPNyfhBHujbB+0qmZWi1ZEz+S6zxw21yg+YidP6KuAB5b2ZqCLlZUZ
X8h9S+zQKDtg8sOyhyaEAQbMZm57Y9Z4YeQ+ZnHMkLAOmRUTakTrDV1LZiE/S/KtW6kXdBW/NBgK
VZhLo7RRowp3FvSdoE3uyDzBjaGrdJ6Gge/WZBqLzaepv3R1f6bI8ZpY3KpRQONkrI9TgmRDmPlK
JATuqfSYK6m5axCEN2bnv1ZECGClz3YtzA+0ov1WCzjUKxUuUSO7BOKLUJh5cRxRrxN1sgxFdxrs
/CAVZG9Zki5F4DylRrfA9bilgqRwVjeu3V3SLHtQ9XLnC7m2sN+skjhl/ZO5AiO5uDY6t11GU30W
arAYg3g7a+zKqL/wremWZhQT9fbK17t9XfUMqbEuSnf0pgmyu1WvDEXb0bDqPfKXJ1ZhY+2a7UHN
p7WTi37pUlVUpTqHSgCr1rtPBtLW5YB8e8dw8VKb9ZVBcKVNztF1xn45TbQxrWnYq1byv9k7r902
tjRt38pGn5dQORz0AMMoKsuSLNsnBSpVzrmufp6l4K1Ae9o/BQx/YHMOprttF8nFFb71vQnfRoq1
KPeInZECwcE1miV80TMtlhZRPJypjv2gYXKdJjmM0npelbZEww2jmA6rh6HOz2rLviKV258mBqTZ
PjEcwsvU+FukucPMy9uHsGpg8shf4yZdhXV25DuIQwFNvzTkZ6koQA1vQEyr5Cd+3y+KcLyKFBWC
Rxt9ZQeeV6lxXkouUZiy810yy+u+6A9Rb4F8NIlF6WhPa4XWANxGvzdOPVSjel2zjevDyi0oGemX
FzhTmVUVfW1jssRmCqjBQhrrDvtlex7LwQrMgISPLiHRN/PvdJjiM+I5yKkg6cIZx1OlBLCmXCAw
WVUWNDJDGLXFg4WlFfY10THILNslSuoZl53rLFTPskT9AlKDE2qmT3q/uiXGhbsjfRhpOK1MDB9U
9q/SwnsLfs9VP0hf8z67jAMMG7pUm+UxrGUbXXwbYVKhjzbq2hwX+yZszkta7HODi86+LjzcTLdN
8ARVMPR9Mlb4JSlNfYukcgVHOAnpRDUh2Wno899dnHH4UfTB0TBqv0gm34xFe1ZMx0kyddaXX6pj
yAPzbFrvB0fEVM/8/WzhHxCcHB77y38KXHQUgJFgyr9pv1Cy3ZcbWi/8q58FrkI6oq4IxF4YyAjp
5M8CVyEDETo4OYdwEZDC/t16cWjKqBDF6Yo4iin6Kz9bL8KTGtGHjOpCoTimYfMHqCd17JsCV8wg
kbAIZRLqJCWp/G4GtSoNzUJyhlPDdKqFLMXpvNLlKsLQESXFIZz1nsjf1pAoHt00P+665kLGvtew
IwTcJReqwJeNoz6lKY9PFlm8lX6gwxSdxoNWLVSldk6wC8j2sZbOz1W9JK1dr6VDrPaMJSXcN2dE
Pi4Z8m1a0M1X/PE8CeCluB2kPSlvaRp4MATsuJ2mWSsa8lY0DbKO27WNa1zDZXmaJup5pGEu3ybI
2BNcGuTSN/YlqycpUXOrlRI10HscMzWmQR590RX7vouKC5jEeI7CCy9lU1qFdNqJtI+pWmonP5Ub
alhVJSeXp7iUQ3BZO5AyiPB9Gs/czjlG4IktGLZ3vdeey9H4NWnyKycsDgO/+iHj7BzmCR927NQp
MpIj3cDqWtSUY27fjU5MgMAQFVNbbQ8Hi3hhHBqKqdQQY+rjYurA7498DWWBnS1cNlpLKo5TNf8W
BvStLC0nscBPynlnDDdjoJ4oQcl/oe8d+F48JdK8sM8qzZaGpdSII8bn/eDPtNMC+wNbgaCYZ0s4
awvILgQp1IeNOInL8X60bXYvqz1Me6Ocwlm1YfYMiHsa/P/xxEyI2UXS6XgUK52qX+dYVDaS5mEE
kM/bXoV0P9y7ljlXVSJ+VdcTzj3Q+r1sZkVQJWt9pMcn1/GxHSMzLQcTA5tCJlAkB8Ud13ZRIREG
8J5C3DSnJYEvAvtbtXTewzA7b+QEtzYzxzqUxA/Ie0ZMniykp2WjmDi4edcQV51JnVSHXlnHs1ai
NW/Th5/YFQ2UIPLqGXEX8r4Vp+yPSYX01aMeDQrnK65fZ0RrFpD5zUO3s8vZUFTYJRvBmkwZEVSb
ra0eVAbJdjCrJJdgjJrKt6ujaJ57OsYbEPm5E5Hr1OuIar3au7BcizlFC2tfTRLctbN+2qSIodx+
lLj6YTyp6fohJ9+5qfjfU0tzJ2mf2HMYYUeJqe4T7YcGynNO+5T4iVhSAcR9ZSXjKYnKB+cjo0Mb
EMb9aUY+H0AJvJYuuuUkug4T7SYfurNQB2JXvOSeTQpJEeUYIoET/EnlOVJjDEWqtD1yhupMy7W7
UMeOrsr9fS0ebrrQOenV9CIg9YsSYvweQ9zH88zwKIRDkq0EVFS75vcqK7ClIFeQevI+HGFhDaq7
HBtCwnFvMLEsEsWdF1xkvtexqIN4Tq74ddpl1+TuwTVq9TWxCz9SkxsHHsM19ThBU0FG2mBmfw1L
6VDx2gOoXTINV2Nu+vmBmxlIarKGbikZZqEjfceOammF2VFWJvGks6puQubot3pU8Q71NGe/zYnS
qxKE5R1t5klROfqpGmUQ1grhd/7Psfh4LBocVb8+Fi/LAAPs4eO5KP7Zz3NR3aNFQ3MAuxDVYQq/
Ohe1vUeG28t5+dz1gQoEhd+x6PmQxyBCF/4+FJ09/ncZf0kFZopMr+ZPDkU8Ed8fiijzHbpHqsP/
4+h+R4ID5u7NoqiSsxQ+vH5cqQ3k86EJOPhwG+lUB8S2bdEXWvlt0SY/xmz0l1xCLsgJYjVbN0OL
01neePulmyyKPCDbyjZitEnWiVwr7PIhYrMsR+/mZg5G/94A+Rdq7gQn3hNJciMhq6rhuGan1VDf
SSZR9obT3em5lM19gooah9tNZgeHvY4CX3PCYykvzko5M2aZr42oeCDc1vREoc2UKKDogJRNedMG
9WJMomGJweeN1BMw19XKhIbTvmXVJ+kYgaxH0CCMovtOkvtVXA/xNIyUC82ov3k05ZaEDdlLhRbY
qRcM2RweTI26KCrnyuCtLWvMgEzpFtjc5QME3pkA/QBhL9BUFBMCj897VT5IZONer5OlBl5Y6QQz
CQCxpMToQRRLp+ZvO/uJXH5rQByzHv5FKjBIsEgnvNG6bIYq9RY0+LZUq9NyDK4N4MtIh9ZOLxFE
0zDPyMAgeAiwM/EDcmhqRO2j1HiLIQouqkA7gWl+Mj5ipTJ6gEHgp0ZhJ6tQqYqJIdDVTtbPJINg
Qs4jnAgk8BO4EYehDx8sFPhs4WHhSyDY3Aa6NSvpQO3o9jiAunYGWUF2ktN80HEKiArsA/JUXYI0
Y+sGKlyKC1lOdvAysvxyFgr02Gzdfm4IRFmJ+VNrUHEm7r66gM4x4LMpN3hwpWhXJadYltBuelW1
J/i5cTvC1LsXKDYR9+ykANuEG5ABr0ruksLUnXZYg2PleuILPLyvyeQiRgJd2xmtvpUXcsk21RAu
MVYMtb7vKNB0o9G8qglCkhPvK5DIvSlQ+GhUweMFMt8KjJ5kjG8EakEhUdmMrfxaEnh+XHVXkkD4
+afARAL11wT8L6n4gasmgXFK9pBUOPoEWX7M/eU00tEH1kMPnQBeQYNx9rwXVAOrw7tUCksbBCjA
RxxGQleTYxhpZb+uXaITQG5cUD4oDFoUXjfRzIqDK2AmeKWC7MBam+mC/mDXVr1MKwSNRoc1c6+o
7lTDkHvIOxgg8NKTMNBmI5wKsCQfyKWAqg7fIkgpaQdBwQgeyRiwMlzYGVFfyGKuXejagTQ8RDI8
cglGR2ZVczL1wpnvW3MbL3Wq+AdZ8EByS38oR/m7A0EE2utJPgwXqmCOYIDkz80BDeiQEK/WVOtY
x5gkGFbYq0KUdkQwn2Ci9KhP7Uqn+hoe1Kr84UnNYZfV5zEkFuKxokWQ1rMReovmtP1UEYwXrObV
SdhgUdUIPkxZ1w+5lCSIWDsBrlrroCh/0ErnQCd4bqIKZg0WuIRVNIIAY0g2kX/6N3bdAiNdbCda
yDk1hE1MqNRgxoZ8WAkGj1c1MOvH9oAsrnaqQvMx/X5Nm4YOoWAA1UUVUx6B/lV6sW8mmEbROxa8
6ovaKOhKABzFPRASgltcvFOjZNFlLAnbPI5LWttZ755ksZbCuHD7qSV5F66rn2a5c+G4+r7WD/bU
hF/FFT8mXBGADEuaBYFP8Tckh8TjdFijEb4Dq08sbCO8xr+YYK62I93U6VBsq/5Nn2a0CfWA9Kv0
gA39y6BnsNkQus84AM5zvVUngWHMWoD0JcFp+LFUmg7gll26dnqATkafRkWMKL09Dww9xeUXcUFA
BW9lpTJPvZh/27YXhhna+2Pa3FRZCMuGHJQJlzCfrJICBc8oPTg6nElsHIOl7UjnRJvcmBpru4gt
m/qbsDccykg8IycFkrZDkysrvmErLHg/UHuSoTexlQPE8hGyzTL2bCNP5UUYyPUiFuIJhw5IzkTq
3HQx1B55kPzklEJU0Z2GYqDucTBzcAWcmqTfreB5UuzrQK4Ig1k0eLU0envlD9F5x5k4rUPktYEB
nwWXSTIi0TqhrrCI9goFxyUWlyxpRJesQ2mVMKpDuU4ap0zIiRQhR8eFBo3xnZEZZwQy3PfYClMs
hshG6mDSlRJTr0mPIJIXpFGQdGzL2BBb6b6sKKs6zkuwTLWBvy9n33D2ilfVWFxpKgs/TrVradBP
8fm864p44bjhFYe9fEhUKTIE21lVcNBpnF7igr6vSRSLGKn3CNdJiBz0bt8FQhWaPpJf6euCXLQz
1bJugz4jmQ4p3rTI8nExZPYXxU2KuWH4iFiROMzzHJPnNm7clVwOa1NiMtR+qy7AMS77FOqm7UoH
geetS9wUPfrT+JHlKNBpRaVWfpZF0NMzR/bmqO1uc7ICFki0v+sySuOwMM+4mn7NdHPp5nG/P3ra
Qyh3FnssvSpVLf253af+wrRQHtUmN3k5G5h+IRcFJRicCcKp72bVnjjESM7x5eMuILFr+wNXOBQw
HUTIcC2n6jF6YdCAwA2nRZsfBm3MUNflchgRkTeaqLzlaD/08BwNbKQVck1rrFDddJqRGzeHt33n
eyTAFrZXLlpFk6dZ0razTEamHEFnGyTzmu61MvE8/KaTQrr0y+4KEjNgb+BMsy4+airFmHgN1x+P
68VM1f2L2kRK78b1qkFqPU1k5woe4ZkXE5ChVXU3T3IJiTtkq6kGntZ7UkyAYLqSqJyE7bZM47W6
yb3krEey7TFaHCE41JlyNxW00w4igJSbD6YMPgZoPbMSwRxwogdLYP6QUm7boTx0OMkng2XcVq21
xGabpA1POXBTLcVRv9WnvRlde0mCDLsv1andmNNQSoDYbmTbO6Iw0GHcSdlEacKDXNhN5E0YnqgB
PvlIIuHURd89yaCz3oWXSgl1K2+kL1bimEQUZCvd6a57ai4cLUaoFHmWzota86aDASKTRAVfh1Cw
id2hrgSWObRB2217EBhYQWeg6x5M1QLVAWicw8NeyG3zLW9Zun6pnMdeymV60I41MyBtzwjLSRPl
F9AdDUz+kNRkfs8+XabHvV6i6Db1A8Wub0EqQAkDrNJ6roBJI1+NcXDQD/GlqsNx7xB9ZZZ80wqS
sE3/FEYYdhREbR/lVblI5d6eyAMOBA6iIGZteO8IL4jWhJzQp/djUh6MTooMshxXqpp+w0p5Vlvh
Vd7CF6mo8qyIrY88SfwxnM5C/xjwIRtrKfflg+lT0llZj2M6NV+LOjAA6GysdOW6sB6jdO3a0U1Y
N6e6XhwkpHnMPKAVXBo4KTXusYX1pfeVeW8kOEMW2UVfOfu57kAV5Nooh2c1ySaQcWASaqiv3HiO
TcIRTpcrYtymsSG3aNhDhdBAz1Kj8zgdzW8Dfhb2SSHRRT+PjRo11WCb8C9y6R9ByhMzTlzKfn0H
/YotT1OuN9xB+Wcvd1DF3jM1VSWxgLPiyWXwpTeL3B3LSuRJBgkIsm7S0X0hH+h7BNqokAJ055Fj
wOURsLT2//0vTdtTuZya5H4IA17Bs/uD3qzovL4hxTkWensF3MFSACVFK/q1EquXJa8ty7Q5Gbkc
FXRZPBphgZ08kVN+iSHgq/jxjaDy6TpHqKyqNC3fvpECB64wQz0nMdpwriK/kEwyB+Nh3IcxyDVC
q9NGX6HuGy+IMkHfYCrYzthkuudZiE8dUpRDxUoQNlil0Z+xeXzRhoz0dHPwrOqwjcJK+9H2hWlD
+inaFhoPLbOWjA/ATinGlCvG5DfI80yds+s3ULEkRLyToHJZ6dHgzAXtQp5V6a0R692JRSr9qd7A
Ap4qOSDYInN7jWi7ZiLFKOIxwu0y7VRuFSM6auPwtKyRpCY5ht2+c6Yp8r1R5XcpYbVuJV9aNKrS
Tlsakkk7FI0ERMAAKMldOAlM/WTlDni0aFFCu69UZvFQPPi2/4Vz80RR84dGay/IO8TkTi/D71YE
6czxouZYsvISOxbDPIgDB2A04SI0qpiPSZL2oIcV7CsXs420LvI5um+iBGLJmKudcNlzTqq0wrRF
tVuioEd1WafW1aBI32IVXkkW+iD8de2p1qTBPphpQRAwjf+AC4d4RK0CqJrlVanXWj8z7dT/UkEY
mzcWTV+nl3EOh+TBKCKFnFQRZ5culWgs4P0V2Jcf+BJWRa/W3gbdoioaJu/mstB24dGgsziY1m+n
WDGUhedhu3xCZtG6o+K8wDJ4Ai4KOpXuuyi5Z948WVrzcs4N7UBfaHN1353+rw5qwqPh788Bl5Wo
M6RdJK8Z2C9is//2cxg9PrdY02QnRH4fDDH+6JFXuCCLOldPK3LmReuiyFDNEi9IWz72rNI9UPiN
zKhADmQNJ45Lap+tjj/qPnMWlUp/p67zhWuPPyyDJLLQpZpzx/66iBFgqGVB9l4VarO+c2Gi+1wJ
DL+fowxbdgqUIRcjGR130dFw9kcN+raqLnW6U5OiLkW+BHSTJN2nApxlMK4neGbNu847UqEOguLD
2yRgETvEsJqxiE+63tGWhScAfc278kBd4HYfN70tQ5/Il3LERLOcgnJSDi9+/xO/3UQeWcIoOtHO
6Xi2mprzbhNxRrVz8sQtT+QW40k2gpgvjxG/FPhzIwt0LP09tuufO/qmWSXIV29+TahZr9/z3a8p
9a1VtpFXnRSe9h2f/WkPPQQ+kbWvJw0+vy63ZhPAycLy2IipLriVDUdjSSApPNCjLLC/yQG1AWTN
B5drKgaWx2pmnsvueGt4xY+kCwpseor8Hz/85zOZX/3nLygc9p7d8YRtzr//9R0Rx4YDmX/zciAL
njouMjZdQ4xm0GO8agrTL+ZwApK1+Mn5j38fyDaOwNjGWwIDV+R3bECNi4UJdY/rHKzAP+oLw35/
M+EEWGrLpk5zk30E8vt7iWhddmEaq2F/mtcuzBFCQS23vKxVwjxCkRc6Kml2GbRKfKrWSXJRiVxR
SVZgxIwuXq9YZgGaufWk0LUTQkLkeR3DDBis8F7DIGFaq+SW+kV74zQdmaMDoB8Nhf7M8bx8CmXN
mjqNm13qVXtcyg1sYWJRW4JoTkGsSCwXmakQZsDBDFWbey2JqpWiXCWo1PdjWDHLkN0B57SVRgyr
V5DH2uuYeJhsIaexSGulDPohySbXfdLuSOoKrgqR7eqLlNda5L1KIvVCYQhOA8V2F71cO/vQYwSr
QzVB3ASsIgAW8ryokNORqFTQlwxjbiLoQ9QfTXLUgNBEIDWdgGxqsBtHgDgGaI7c6KQRevJcBeeJ
wHvwwfvKaB5nAgiSBSSUCXAojfwfBmhRb9LxAVq+9oroWihj5jiBYXIPxlQLsAmODJ2QVCEG2SNu
V0BSkgkEJkCqPjUPTCzkJzWdGKxkQbJqgWn5LuajKTAXPzSeOGZ+kUnuiQ4QZo/BvoYjBt9Eu3OB
ytBEtkco6aDn1wQEFwBqqHsQJ7jjiZHxk9Z5PyNPD0BRu1G18noElJPcnF3c9w8i4DpT4HaWQPAU
geVJnboy4HhMY2J9EYU6p3SaQFATQY6BuycwwUyggwYwYe6N5zqwYSjwQ0kgia3AFJkf9HLtIrJP
tQEQ+EZwR4aVVVfRHPezQwlTHABclHgzLG7gB1rGvQRbD98umnrSAPGIM8J1QuNYbuMDPIpLxLTc
vNREOSJ+FAM8IcRzZYUT27CD5WBEeIjgtQjhndB4w2inrV3SqPOi20LNdbpGwYDV3NDMs9BZyDJE
HjMaGWTKu5U0VITZGFDeOhb4VGamEjP5JU7Tnpmtr3rbqbCLS+TL1HexMtRJhchS1NdGSJ3nmDT8
XS7uupyCy7j3Az3zgM7/KjKMy7J2CbBK6yn5ElPLck4AkuMVziJw4zpAWis2V5Jd6qdWzd2Y4qSe
kveLMU+pX7SRwONr40gOunzqIBiYypJxUMZNcKAM2WGhx8qqyAJ+pdpBefutUtxTqfMWHXT/hd4F
KMbLAO5RUpLnAHgDwDOzi/jGj42FneUsdZZJnls9A5v8yP3qoLe6fBVJlj2DWaSc+jBhZ24j+V/C
oPAOUh29Y2O7J21B3yB0QNcHB382srsJUITN6qLEHhRaWIRRRAfFMNpQHlV3Xy5qcu2rTF8OnuvM
ZKmoVnmRHno+LLjBa7QDJMsjXjWKtNSzAt8paBqm5JSLMRoOyDL4RsdYO1NDMp/Z/RAsB0AafpQf
SBpdvN5z52aYfy+s0Huo0mTm+CzjcysM78dwRB+YOhp49OOx8Q+fnlS8352fzc2mCy3/5tX5yfGp
o+aybBLy1NegqsJd1yRp2IJS/1bn5fAnHLYAqCp/xXqd2sfRKg5Vhz8SYYB/lnKPIdyH89PSLMXE
aIG7takIWtPrK21cY2nZZ718WkP8Qd1uLE14O4eq1OT0Y5X83BBMIYibcA4it1pkKJOmNYSiMjNQ
mAuOEbPPOCoF74gVAQOpM5ctlKTY7vPjcpSmeSvrgK23CsEcMGQ77BtxDx3NbuW49iKwcnlGaMSy
Eb7mqUMAvdXpV11a7uuBn15yS8FYNM9viXs7zGDzlIouSC/ot02vuI0HJ5plFe3couv2+7zvadhn
fnoua4CioQ5gqMEbQQ8/rzvZnSad5CJDKRvMyoqzwa3XVuPduomNY9CAVMUjtWuFMDyZkEL8pSb8
9sxBAjRJTDKwYq2ETjtY1szF53XqSbTOUnc4Q9sFecfR7qrAPMeB7MSuA9pkfvQtULXLOnPymRSq
93lk9Fjce1clCreAVd8gcJ9QDOzDurxjH04noe/vRw4ODnJ4XOGglKTeYTg6lwrSLGyxBGasype5
FaqTkR+h9uHzxC4NXrUmjqupSIG3qm92hwNXlUOHLAzU8Lp8Zse6MvPd4DxwaGRLSYccaRhwL8LX
8UEuOenN9ITz9LAdMm+lhdWXxoT/3tMpw/WSrqllQiMxY4nDMZ5ZYFoi9qXB38FRLRBWMhMjdF9k
5AZpZZ86aj4sYyJ3Jq2JjxxCu2OvKu/VArqYM1reuSQQsDEwbh1kyCfFoD7EmQH7ozQzeeaHqnMS
+6VHPFkJ7yzCq6w2kmiRxml+4GHXC8sKLDO2Tztw9KlpOlwrBhDMSNcQiWcHTame5FlOtok2cjMP
uKcpTQav1ZCWYU83mMb8DzP3v0ZR1CDmdKaEM6fc77GlqkiGZBcPM6C98asVIO5ws5sECVZDvtwB
0OS5YucPug8F1++XDaEz05Tb/VSuS21lxsUqN5ODvjbmuqedDkp0StiiSP2iVyxn4bXcuVdGQhpu
HZFF5kvWVVl7Bh9bPXJz+hGSDZxaFIkw+JS/JEN9IHN4FVH4JQi8udnE3zu5vCFZPsMrDqOTAeDA
LqNmVgrHhkxOwWMYXEOXDtpY05emzIW4cYaIhrh1hBLvlruyNqvq4TrX1GbSKvkir0ZEmfVYzIa+
XUXuKKOpkE+6uLvxBaPNFNy21AyKSQbdTYN06FAJm9DgQsGHsyHG1TKea6UAXQVnrhfsuShsDnvB
pxsEsy4djLtayDcKvFoSyHeFSyM+EHw8LKaXZLX9sCHqUVRfKRD3FKk65/NRvEHpc6D2lYLjxwee
eWPbzRzof7bgATaj/KVytB+DYAh6uh+TzARrUIoGaZUJJmEK2tVCLdQb6d6HamgLzmGeANshgYCJ
6ApO4ijYiYmlz0sXX91QMBcTKIyhDNZsQ/6cFko1TqQMpmMiOI+DYD+q0CDhW8OhEsxIFzoftMP+
PFRlVEWGfIsPTTj9/+WcfS4FNpq0//QFFX96loFqX2YfnNz/o7/00pzd/KDnu+t/5vouhGFvbr6P
H+zRd/63z4nXoI/NHbdj6E26I2MQpJj4Y/HicIyz1Hv+Y0Tc8p5BE43kyKf3ejVGvxqF33/BLx8M
8T8+57cf/r31vfL++v/Hg6A5e1B3EJUTufP44pr/dhBUKhJDwafpqVTavUGQt54Jmr0HKVwFY4DS
Jl4fBkHeo8QjM0jf1UEQnZvtloNGzpOtArKwKB5ftIzfzgR5T0MniJ3Yri4H0eXebhCwOKNbbsGb
eN4T6Lq+HQSWA/FZIDdP7/V/vBxed/cMwwGx+uPvzxf8uSUyB9jvKKiUX8wBUDooUuBjNAwfX49v
+H88CKzWDxvj/8tIiFX/eihwy2YicIN7fHG1ez8TDA1Aw3L4E0Z99wZBsGz/eDq8HQTiTUT7F7Dy
/bdnoeApx6nxNFN2YjVsmAgf7Fz+/IQ0oTqjKEIT9MuJwABBghYFxE5OBHHt324isC/qCi1/vOif
XhwBb1cDJ6TwB2A97OQgCG/SbQeB3RFmgg1K8bwlbDgcSOxlwTARd3Mi0B/aeiKITpcO6eL9DND3
4CFoGKAB94rXjo6BENxtNwaUiwDrjkOs/NM33XA00CvAX0PZ1aNB/HpbDwKpoCpCS5BI8fqwI6i4
WYlayd7V1SC6pVsPAsgkjVUuiY+v9zOBegn+A3Ze1hN5ageLhKdf54m99PNe/if3aK6QBnJbfulf
DIIAmakqiVXf1SpBfvp1thsEVVwQmQpPy4FhfXtAEjqPKYZJ339HN0Zj6+VAlYCzHTbj6vPtgDPg
/SAwURTmwlMdsbPzYevtkeaSJahXqjgoxOtDraDvwfzTqBV2dXtUniq5bRaFvsdcUDVocE+D8GF7
tPdU2B24Sj01XnZ2Pmw/FLgIoLqEB/I0EqI8ers0uFA5DpjfY1AxoUo7ukvITyXNNrPCpMeiQAhU
frFLiEOTbCkMNHd1qxR0y60rB1w5KaWft4cP+wODgJqQxC6RNsp77WDl8PTBtpkJVA4wzBQCNt6v
BpWOLFH1mrGzu+PTAt3m26useAIVaL8/lQzvK2jF2DNYJgZn6uNf2NUtQdm+hMTeVlaZC9ZzCfl+
d0Q4wGZholrf1RuVsNDdcktgPuAtZDAn3q0GxeJqrdkQQ57P0R3dEZ5xsm3WhLGn4bbDVeJpyotj
8M0xybYo7t5QbZ6O5N3bFvWty2hNh3kri87yrw9IxHwU0lwnHl+7Oh+2PybNPX5p2gwvFeSHjQFA
gj/jarmr8+G5B7TNoqADLfw5wKWeDor3iwKgWjZpOAHK7OhMeL7kbDMIFknrmKn/rJjeb5IMgvD2
4iqh7/RpqW6/P1h8U53ZQEDSy1d9v0nicWahY5N3en/4wL78c3DG2QOKpESiTn58fWi70HuCumDr
IrptJ8vo56bYNktDDAI/NEY9m+eDikwSpRAWPru6SX7wtf7zmWDviYg7WtLPM+F9Na0+lldQYQWW
uZMzQdu+jrYR0dKRxhnvaeHze7/ZGWjFIqLl/6ixxGtXrxTCtXHLatrcM60nYfDTovgwH+BnGyb7
ws6iddrTat1mZ4DTw41CF16Tj68Ng6A6VFeO81Ra7Ox82H4o6KfgsoBp63MRtWEoMLnSATGemr+7
d7NQt2+44OOPhJMu4zO/Z9MgWKIhoT7tHztbT27fhdTovjAQtvkL1IpLN2GXkDp2dpMUgZpbbpLY
+CFAoSv9fNP8cF7IwjEXjuxze2P3FoX2tGVts0lqEB9lki+eWw4few5cPYRWR7F2dTk801K3GQSQ
GIPlIJw0Hl8f7pjglzhzIAfe1e1RpBpvuRxoQxoMA3ftn9vfh/JJRhMMgrmrNeTTB9tmJligL8LR
E/Dh6fW+hhTCcBmbFG1Xl4O2fd8JMhNoPR3X5+Xw/qDkdIArTaryro7BByP1P79Rca3ErAda/PPh
8KHjQgUtNo3drZieuRZbrAaB42vCEuiF88fv/XZLUBFzAtPQgNvVLWH7WsmAyoU3JqXALw4H2J+c
njB8dnU5PO9VW8wE2J+0DtDRvhwOH2olCG9kCnC73tVb1PMH224QBF0D2vfz4bBhT+DgULhG7Sp2
/4wobzMIgBIajmQwvjcvB4HdO2IYnlU5u1c161vXSnC9IDWCSuLl9vj60HklaM7mEGXj2NGN8YOh
3Z8fkZC4bOoE+VdM4MeZwHXafKbN7OBM2L5WgsWBzwG876ee4kcmsLzHHwJocnsQr53dHrc/KC3Q
SOIQDfNXakoFFqigvGGMtJtNaBEVvOUtCpNHMm4E9ft9rUQxZUH2Qyfwn3/7/2DJ/NQeT/0gvnuU
Jgf31SOH+Uly+7/+hRfd7scHvJKWPQrs3vxNIVV+evaTAE389/9a35FIPAuqugxua/WRuPXqT1+I
XI/v9Pzvn7/ixzd/82Yv3+vlf9wP7st1eYsRQYqkeXj+oE/OX/8dYwB2t34vjBOtrpf/bbPM+udP
//unE6Bw//Kg1d2//wXwhI+zINT//VX//a+3I/FqXv324cn6LitfHvTq4cyZrR8+EQFSL8959WwO
r62fPV3H65afpHp51qvnc9xu/3zMeasPPymjzg7+CQ9P65Jk86yqN70FK3nrt5jdx3+dZOXG8adE
2Pr58/ivWVYyeV6e9Wr8qdW3fv6ivK/STQ9nK9/64cv4Pk1fnvPqg3/Gct1vkpssvqs/Pl75jAW7
SvL7MljHGx7/GUt2hd/+hkd/xoo9vC83jLlgsW39ex4GqbdhI1A+Y60eraMNe5ggS2/9sY/WVXW/
aUw+Y4EeZdVf/5169/H9ppH5jCV6vL5jA34Zh7+XkeBgbT02x2till6e8+rZn7FExbPzbNPuLuhC
23/0+/Quuw027V6CfvIJzy9v7+9eHvT32Aja1/YPz/jsL8959ezPWKbHJKZvePRnrFIeTVbl/bDh
8Z+xUk/W+YaJLu7aWw/4yX27/lg7GqSdfsLDT8s1W8DLg179nJ+xRM/i9e39htpRtCW3HpazuEk2
FXcCht364V8CSscquNswMgLh3Pr5F+vbkitBWm+Y7oJ39AlvkP41uSeGbtMbfMZSvViLNyjTdXm3
cSMToM+nfItZcO9t+hKfsWrFl1iwAm6D6nbTe3zG8hXvcZCti2bTaSU4RZ8ySkdNUP11ehNU+abv
8RmLWXyP43V9v+n5n7GeeT5+2ZN1ebPeVDMIHv9njBTvMY03v8PnLGzxLTAxHF8+7t97qjA/2f4r
+OuNd0LRQt7+4fQwNg7+pyzmoIqIRGxePuergfmUtZzF603Vg+AGbD8wFCbJhgNeEGW3f3i9xuw5
XjfVy8NeDc2nLN3f5XQ/dqu26D5d3vvrTUMj9OtbD83vo1S3/ugNO8GGI15gUtt/9IYGUbKpLydg
qK0f//uAn21H5jdRBVs/+tcuzr9/9Ka27E8h7sdm7Yu746Z/9rYXLf7GbXy/Lv/rfwAAAP//</cx:binary>
              </cx:geoCache>
            </cx:geography>
          </cx:layoutPr>
          <cx:valueColors>
            <cx:minColor>
              <a:schemeClr val="accent5">
                <a:lumMod val="75000"/>
              </a:schemeClr>
            </cx:minColor>
            <cx:maxColor>
              <a:schemeClr val="accent5">
                <a:lumMod val="60000"/>
                <a:lumOff val="40000"/>
              </a:schemeClr>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74F9AA23-9229-4C65-95C8-B0F49AA66660}">
          <cx:dataId val="0"/>
          <cx:layoutPr>
            <cx:geography cultureLanguage="en-US" cultureRegion="US" attribution="Powered by Bing">
              <cx:geoCache provider="{E9337A44-BEBE-4D9F-B70C-5C5E7DAFC167}">
                <cx:binary>5H1pc9s4tvZfSeXzSzc2EsTUzFQNSEnel3hJp7+wFFvhvgJcf/09sp2MRcm5dFXrw9WrpDtlkwc6
5APg7Af/fOz+8ZisltWnLk0y9Y/H7l+fA62Lf/zxh3oMVulSHaXhY5Wr/Ic+eszTP/IfP8LH1R9P
1bINM/8PgjD74zFYVnrVff73P2E0f5Wf549LHebZTb2q+i8rVSda/ebazkuflk9pmLmh0lX4qPG/
PjvLJPyRV1m4/Lx5jcC1PNPV8pOTK73+f53p/vOnVaZD3d/1xepfnzcGI58//TH+zi3+PiXwCLp+
AmJqHyFsC0EpF88f+/OnJM/818sGJuQIU2abHMOVl6+9XKZA+VG+nrlaPj1VK6XgIZ//fWeUjSeC
e/4z8a08rt/OGhUfAPrX5/ss1KunT7d6qVfq86dQ5c+vr+qdfP3o97fP7+qPTVz//c/RL+DtjX7z
Bvrxq/7fLm2i+78g/58EXvTTPkDnRzZiNrEt+gI63wadcMK4BdPpLeYf4Gg33OMBJiA9Jjk4kIsw
W+1lYVuCmhY22e6FjcURh49pcjYGeSpH72G8QT8J4g2KQ0M4XT7l1V4QprBEEbEBwM09GwG0hAiK
BFp/8AjgyQy9A/Am/RSANykODGBZa72PFSyOTEwoQ++tYIKPTJNZGJMRwJMZ2o3vJvkEeDcJDgxd
0M2Wzapaqr2sYCwsggnnz+sUgbgdL2TLRgImgbW5hD/E1G6Ut4eYgPQ20YGh7a6ST5c5aPx/P9oM
H3GTwca81rfXny2tix0RxChoXSO160NM7UZ7e4gJaG8THRjaTp7Uah8KtgAkYdmC9vXOwiZHCNnU
EswcLezJHO3GefREE0AeURwYwrPkk5tXoID9/esZTGdOhGWSVyNKiO3dG4xqDMaz9TwLRlL6Q6zt
Rnt7iAmAbxMdGOYXyyos8r2sa37EbEa4aZOXdQ2QbghsMKqExbhNOHrZ4zdX90c424341ggTAN+i
OTC85+BSyvaxwK0jTrFlmhi/gDle4GsT2jbhDx7t4tM52o3yiH4CxiOKA0N4kayybA87OFhYBJlY
EFCvN9bx2uspbMypOVLFJnOyG9hN8gm4bhIcGKzHdfo9T570348sAw+IbWHGtpFlR9jCFIH3c9cO
/RGWdkO8NcIElLdoDgzok7RYVeEy+fuBpuSIC2KbjOIXiUxHKxmbRyZs4SYGT9n6M1LCPsLZbry3
RpiA9xbNgeF9u8w+yVWVLauncC+SGRYxmE/YpvQd1PkREQwJDiL7bQDj44ztBv2dcSZA/w7lgU2A
k6zfj0JmIwIim7/GNLYUMhvEtrAs2x4FK6fysxvtDeoJGG/cf2DIfgnBGarCpz04yCg9EjYyKX3Z
qZ/36g2tDPMjCq5SgsfL+kNM7cZ4e4gJQG8THRja10kNaRJ7ENtgJ1OLg+/k1bTa8oWiI8FsYUII
c3MHn87RbpxH9BNAHlEcGMJnIKb3gK8JK/U5dPW6lnc4StZ5J5gSQP6thJ7Kz250N6gnYLtx/6Eh
CzlM+1i61hGABtkhzHzXK2LBNYhKjqGdytA72G6QTwF3g+DA0L1bBct0D6ELsJzBVLKQSd5xeoFr
BOKRGOLOLz7QkUE1na/dKI/oJ8A8ojgwnK+qZebvR9ni69iEbb2XHwRJYiZkkFhjk3k6R7sRHtFP
QHhEcWAIny/jfeArjiCWjCEO8Woib+UWkCOBTWzZfJRbMJWf3ehuUE/AduP+A0P2Olk+rvaT+WWD
awNW70t+Fxo7vSAzCGxkcImRXyL6rY41na/dGI/oJ6A8ojgwnM+XSq32oEWDLGaQv2mL12jjNs7o
yILLzLZGqtZ0jnYjPKKfgPCI4sAQvs2T5V4cmfYRMWEdc/66S4/tJNC2EBO2icYZYNM52o3wiH4C
wiOKA0P4PFef/gOaVrLah83EjkChJtT+aTONqywwzANGIZ0XBPaOKMUHmduN+K5BJsC+i+zAsH/x
yUO1yJ581iascULfMZdBVjNEEAQrR3rYx7jajfmOMSZAvoPqwBC/WD5BSu8e/F4W5P8A1JAi9BKY
2trP0RGyoJ6K4VFkajpHu5Ee0U9AeURxcAhX4R5UMsqPBGcmwPua9TfeyUFgmxCYtLgYhaDWWViT
GHoP37fkk+B9S3Bg6MIOta6GrOphP2uYg4MLYevFetoBMRTd2Ah8I5u+649xtRvnHWNMAHsH1YEh
frHKnvLH/WQTiCO8doJx/ppDsrVpU0jn5hal65T9t4b0h5jajff2EBPg3iY6MLRv8yzfh3cbcrYZ
FZbgkKD7/NnynEA+ETYtBhJ6E+rpHO3GeUQ/AeQRxaEhHCz3UtAOPhOoaLWoTd+rqSJH1IbsIXud
Gvh2Md9O5ugdhDfppyC8SXFgCF+sqkcov3f+9pYFkAWCLGHZ1msG55Z8BreZjQXY0ux5jY8iVNP5
2o3ziH4CziOKQ8M5B8H898MM5XJMIMgA+amGwXLdyAYisNIZgeJYDJv424V8MZWhd/DdIJ8C7wbB
waG7N7+nCSnar0t4qxYSSisI6NgC4ldjcKfx8x62b6gnQfvm/sNDVq+qVf/3L11qHVncWvu039Oy
8JEFSpZFxw1GLqDZzVSe3kV4c4RpKG/SHBjSl8tiH74u8FmDIs0g0eddXRqKLKB/gT0qopnKz26E
N6gnoLtx/6Ehu2qWe+kQBNuvRbhN0asfc8tOgggzhuplNvaBXE7m6B10N+mn4LtJcWAI3y4fK2gD
le0lNmGDrQRdghj0mHj+gHtjU8Va62DrP5DKuf6MNOmP8bYb7x1jTMB8B9XB4b72cMpl9X25l0AF
O2IErd3U76T5gQJmCRsS/aBJwfNnUw17cTh+gL330N/1lJMmwC7Cw5sDn9xw5e8jLPns5+Im1M6N
1jwUWWBwn0Bt1WvAcgv46Ty9C/poiGmAj4gOEOwL6FS4D7Cf2xZwDsUU7+zzkNNLbHCCs60dPvs0
man30d4cYiLam0QHiPYcUnsfQ/WY/1xhf0c/Tw6FzwhxqIB7gXpcIgfxSdj4sWnTkWENO/qnXxxN
sQnfh3t7mImQbxMeGuzhqtqLOIdOBhaiUNT+oqjtyhSEiyDwIZVslyY3ma93UN+knwL3JsWh4QyL
6TRflvW0kP8He/ZCDgJkIDACC/n5s8M4IwIKdITYDfbHmHsH8R2DTIF9B9kBYn9eh+rT1fdQFfsQ
5+YRgegVmN+w068/W/FqSAuGujtoDLljj/8ga++jv2ugiTNgF+nhzYJ1hkqyH+sNQmCQLAqlHe+F
wPARaAAY/DOj8tnXRJGpbL2L/tazTUN+i+zQUA9VHPZ5PUV/+timv+4eSUFtIz97du9Q7Czo92xC
euFPffKlUfvtB3h6B+/xCFPAHtMcGtJ6mYUqWdb7SBfnUNaBoPmU9V7tFnhf0TphnI+SDKHX/Qe4
egft7TGm4L1NdWCI30E+JRy6sIelDc2qoKQaVLpXV9uWGxZK9SCMAq64kXn+AZZ2Yz0eYALQY5ID
Q/l23cx7HzV7kGRICYFmz68O17HfDeoArHUt0FZEZTpHuzEe0U+AeERxYAjf1aD97KPiFhojULSu
in+tyhyr5eucBrFWy8yRhJ7O0W6ER/QTEB5RHBzC0EU53cupGmB629BZDFbpu6YXeGEwtskWxtN5
eg/l0QiTcB7RHBjSDxAYrffiUINe7OAuo+i9c5GeFzNUWFtopIJ9gKXdOI8HmADzmOTAUP6WJ/tw
o9iQpQSd5ECzGoXAQBTDBY6hUeimKTWVkd3AblBPQHXj/kODtP4O3pG/PTV4XcmBodkn5A0+f7aa
XsCRKdDwwobUsxGyE/l5B9m31FOQfXv//wFkf8/ixgOvzzT7z893uyOg9dHz6aCRJ5xxY0Gawm6B
u85TwFDOAbjvylOAA0t+naz3kiO8i6fdqL6l3XjGl0f8/UvZz2lz759E9+uQP3epl7Pn4wHfHEb3
+6vPjw9nG45IX5Oqd7ywX/l8J0//+gzZf9SETiNvkF0PtJGS/dL/4+e02KRaQSHIvz7DSYNQGgtO
DdOywIlFBYJ873b1egnykGxQuqgFncVMiG5+/pTBIS0BnF8ojqBFOwV1jAiTYajZ+/xJ5fXzJTif
AUP7DLS2uiDRxRK/DnG8zpPez7Nfb+X1509ZnV7nYabVemD4kuLlvjW/JjLhsLS1YgeVnQTmJAXZ
UDwuv6ybjMFL+H9N3zZMM95e6a6JHabjr3nTf+F508wS4V+luIwe87DJZNjTO6pp5DTU8G5t3v4w
AjQnlsnkQI1B+nY5Q1liy5T7ySysvO+VH2OnS3glmzr7wkTiL5DIvUXbeBc2nG3pBgX/XtPw1mqG
r0GqLYckupakYE6XB+lxzItTWqgURgwiSUU2HxJyC9/lthrXsmrrwCV1j2Vk15HjDdaFjsU9tPgK
ZBb7T5GyL1jl3SDWXQW+Os45LmTT9DckQGjObNrIiDXXHeH5zKbEkpx0rUyT2PF8IoehdGhZRyeI
kVC2BT7GgZfOhc7VLA61Pav7gs5o7C2sOKlkTlNx7BXsrhJaNr1wa0pndaGQLCszdMK0PxlwxByd
Bbb00fBgiqc099yKdBdKpae80X/WaAidIlKdZDRsZN17ibSaOpBm168alJ80mM85NbgUKHjwcepL
YRtOYielZFUq/XA4jgi/akN+yZnv+Hn1kBvm97ruz3geL4x4cC3KnVLhk9qLb0hPM+mb1hcb3pAX
cl8aeTVvk+SyYuKLFaLvcTcg2SGBpYnwIAVv71PCvkW2uCQFbx3dZGxe1FhJ0fEzHNl3RkIzxxrQ
Q9hEiWyz6Gyg3n3RVZdFbZz5VSykSpIVM4K/usa4K2h93gXdFy2sObKMP2sjekxEZErT7BunKnwu
hyS3Z0SVP3jf36LaCGXJxAXAdN5G3C2ryPXYD1yYM4/A47T1MC94rlzCwts8iI6tyM4l8vliiLgp
qyz/i2bWN5qq3sn6bsnqFuYXLkuZ+lksG52f4yZ58mBGioqmLiP5AifWaW31x7mlnxqDRZIE9M5U
/sIPQ0MOXnmNUasljpvOhaNTAlkZfeQaQW3LntqFRCJ+iDS8pCEzImkGypQsJV+0VcxEkR73KK3E
TOmsOPX81r8kdf7QqW9JeUJhzX1LdSjzvkTHgR+HctDsPi/74KZvK3HixUkqc666BWu8UKK6ZU5d
4mjW14EpQ6P4YUatFuctLnV24wVe1M90GpfDfWPmYSzNprOVkL4Xs9vMo0XsGD59CFmUzxiub6GO
ZZBez2SXMdMVbeMmdhS5PBOLvmiVa2DbdnVbJadhwfgsbTw8K1r6LW/MaDYMsNySAKZ01mpLBl3l
hKZJHSNMXd8W3a1ddJbMg+CqC4YnojsZlr7thmE5R23t1nGKZ0OHvVlm2YEb2/484fyyY0zqInQG
ZH8NzWwe2KYntR3MLa1PQpvKCvVu0uXXSVjPi8bQzmCos7xQhTQafcqCzL9M4u4+ZtYtvF28KAW7
VFF13ZX1vYjFcUVZ5vhe+11Z7CHP6Z8p4okkXulECU1lWQ7D3GrDBzPomMyHNHCgo/dl6zVCZi1t
nThIzlE7LOC3xOnCqJClNr8VhlVIUhqzisY/+qG8LyL+UJThRVKx75Uacgel/MrS4tSqcyRZGVBJ
yxbLXvuGgzz8HXXRF5tk5wBeKUU0tFLH/D5tmhZWCNWO2drBrLR91xoM5kIB0iCjuHRzDYuph6XH
B3jOgJwov2lkGOgvUQ27AMGnCPMzr9bnsZlUDhdcy6S1Auk1qZA0TBNZcztyWYqHmRfrlREMep6L
MprrWoSyKNBl5glj1iR1f0wyfDr43tLo0/MgHu6NnhKJu/7RaMroti+6zqna9rhQLJNpL2KX++Vj
m6NQGhUqnDzN7kPbOguK4jEcuHZ8gtK7LquOjYzcc1KnjlcAGgn35n0dI9f2bNg22hOeFp7rWfVx
EYF0KPSjIC2TKk1grqm0bk2ZIN+oTiuE+0aixM9mzBJqrjytxF8kVZpfvD1Wd0PSPuZFX4V+8Hpi
8q8f/32Xp/D3+Zzd//5yfeDyf39arPJ1OEuNb1prRL/u+u9ZvWsN5NfBvSO95uXU5neUnt9e/JBG
hKCC+NdZzFsakQOOGbXc1ojWVL80IrBDIYUDzl+GhquUUdBIfmlEkL8JqTw2HEVkgjNqfWLcfzUi
aF4Al6AE0nxOBXurEa0PJYPOvAIGtTj0IPn5FjZwAlVwh0YEJwJva0TQxJdBO25gAY7BWV9/oxF1
refHhuWxq3goOIhtK0/p9yag2rsilkPT9MKIDHJsezxxjDq47ZnPZGyxws1IjST2LNAXkjKe1UIz
V5kpOkZtHLl2RyunbvIl7gffqc1wOZSqc1MaKLdS1lmS+qVTetF1VIqHwvf0rEgVk42twpndD+g4
FJZy4xp7UlhxI1sjbWZBpRM3sPRZnRVCYh5+bbB1E9JsYSVp5eSdmzXDIix1KxuUIhlH+c3gtw+5
lZ8oBpIoTHLQu7ThO6JUngyrYSmi6sayQOLUKWhFIiHXBOnkomZDPrdjM3OJl+RwDnj5g3r+so5q
7aQGn+l+1XbEdHuznDUG9d0kzS46wr4WmV9IZbfFMVNZ6lS0LZy4AC2N5oYtB1tUDm66MzqE0YxU
w6q2vXmdN2dYtAvMuzmkoywUVbOqyl0S4cbRCUiqqqErLYgTtx5oJkiSgZ5n/XA8mC2Xte9VMoAd
pEnDO7sGXTNJiuM09mddHt0lwnA1CMSiQmeBUTteGvpOZaY3DUBapyyYoS6ssoUGATe3reIUm+n3
TAWJE3LvHDXiPGvCzGGJl1mnoDpWN7hDhfdXVCU+mSma+9mNMei+WKQ460Hdi9Gf/RCJHNS5+JGY
dN4FVStDUj8KFczhPDbfaW24HNbtqmRYOaAECpk23bHug0uWefbMaLt+XurgR2tYFWi8/TcLiTs9
dDe4wX/RqjhF+fANtC7hWKaiM+6zp5B0py3y+7+SoIxlqAvuMFDP7KZqQKErjyOzuvFEcswr2ziv
eXnXh/BYRVKX0vftK69ToWMHww+wXtw60KAvxJaYaatHxwP/gaOczUKsHxqdBG5aMALqAbmMfUEX
phGeVt6w6ApsulXaVI6RB48+CC8H5MQwt9uocKLeXxBDfQvb/DiHZeNkdtZJuw9kwdUw035WSGzF
J13LPMeujOveM/6sNDq1CordiET3phf4MxtOIpXK6yWsZpfY1XHCY+5YOj/NTNXKIC1AJ7JNGVjx
DxXoqyJly0Z551YyRDLuo0s4Fu2soEEjrVycZW3CJaG0cSLGZRWEgYx00y7KLgVFI6BYEgFd9WL7
2wB2Q5qYJ0j532hMi9vBALlpBHYnE2LecyO47YgB2l/7Zxmw8KQIxMnQlWeebxdnXq7+tDpvgW1+
a1jWSUDtK0OomwBZq4INl2laHcc5zM3B6kGi4ax2G+J/aZp8EaP82K/DRRUFYhZ3IpOweqy/VKNO
AhLVXzy7CWSYJfO0a88sreLZ/4+i7a2MMiGB/LdSbcvd8mw7P1P9lGoYDm9Zd8JDcM6pCeILBvwl
1aAqZV1xBtkPNrh81tnor1KNQR9EvK4XRms/DxyhCrLwp52/7rgEA0Lesw1dH6Cp/EekGl6b8Rtm
voDO1tAW14LyVRC86wSqt0JNDzQvyrruLkFJFbOm9YICbNaIx07M2+bGMsz+NOqaLJ4hFOtvOmcN
6MiqK6USWfn1zdvbIWPXLdPH3MAxNiD+oZcBWyf9bXLDsr6IRVA3l6TM8KUfD5kHamZuBU4HFpiQ
Tcvqb7wpwNirUluDWIyq2JfeoDhzoLw6exJaoysYI6hdkiT4fjANGy96y/RWuDdwN/89xwT0lS2O
ofoXmpZCkiocs4VGHIc8AGx7fUk70wcluxuS+wY2HDrXvM9NMPk7HLkgHkCgcasPZR8juoCNr8du
1eT6KeiUwg6YZKardJg3UqcBaiSvTBBKfh4F13EtTlMlQBsAN7B4UEF5Fiet2c1CZVgXYRU06eL3
T7UNA7TTRXDSFBzOC+6m54d+o+nw3vBbo0jUZaY98ZD7sJNKFhOYGkVWd9dtV4nbwsPJn7//2vVc
ezsXoYUFh32NgtYGHjFC12y9+VoTdT4rlJ9dZvaAL3Ec1JeZAuvQ9oKH33/T2Lm1/ibwoUHXYDg2
TXB7NM+KjIGtVQX5pV0gtizbvEoWnrZ7IuMChHxZJ4NDUW/nTkTNNv3fJs16Umw+KEwUONmHwUnX
cDrb+OtB+w0DP0vDS17G5jKNanMZJ2sezCFVM6vKc9kjgH4B6mJLZBnnfKUToU5a0bPzzqIVcmgb
5bET8Sy9ByFPqBvYfb8qjKZwkTGk3DFFzqpjk1pDLX//9tbnPY755+ttA4rlCBzxzGBPewsUsmoz
M03PuMC1ly7DSitfYiPWGZO07zP/tA3C+DsY88V5N5Rgg+esCx2CG/5D8wGM2j7wQeXIo2YVVpQ/
NWYR8NPfM8nMLZDBhoBJtM4yglofk0MM5C2XVmWHqAo0vYhYWXigA2gRgOahOyrmuqlrp+pKdNOk
vVnLIAi4U+FsoUhVLBJWgP6YlOmXIjHTTvKk9b+2UZqf9EprWZhlcW+p2Ha9MvOcOo+iELQoGrXS
i1R22RaGuiqNgc58H4tIGoMH6i1pwHVpWjr5QiL/2u8zCvoAKFeX2ivvNEkN6logyiUOewJ7A6uH
QaLWjs6TwLS/eahmp4Fl4/PB7xrhtChgKVhdfXhi2FWfyra3Bxe3puEOUfdYqFLf1sjggWxTzeee
KusT5hFyVwa4jRceNzA4jYLY+w5pt6D2hVlp/FWnPHWLQpGTOM+KE1yK5ClsCnBRFDSNb0PhdVw2
JfNBh6tqBxT6YoEZEVdlm3Yz1lblHOMOg4fY5Nh3mhZ8v05DAm+WKlq5dSGuAs/wkYtxro9B1JDW
yVBkSVvz5M8uRcEZqURxa1JtLmoB1tRcWemwtK28minwdAzzZu3wMboOLYlK2h/KLwrTGYhGtcx8
0vjzTkc5LI62nfV+U9vzKvcCN9E0Pc7gVrCQGFgLVpM2XEYqigyHe2AX8NzsBsl04jlUG1m6qKx4
5rO6RzctxQyMmgolMoKZpOdUt0ItOsq7cysehsS7qdtSp6nsw6TPqqfACwgZvqnW6HgaSFHBVp4/
kj6NNK1kresafCM6Bn9bdyrCclg0otbeSVqFYSEjkuS3iBv0JOoprUFDFYknwc0nOoArBb9a5nkg
D3USt+XMilsfOVWisXcVlMji+XHc8zZw+y4R+txSmsKMar0cq9apQRbOLSOIvKsGlo7lO6Vd2DDh
aKzSeZaElZBJCcLLm3VNaDmGB2EqcBJ5KGNOrrw0dQJRtx54gnmSzpQHWsHczPx0cOzBhB0zIzGr
nTSojEQ2qvfVtQqNNJ3lfmj/MOqGh8hFOdGLkNm1fWkanu+dZpRrbkZO1qly6I8VJPxWwazwA57O
PNUM5VxUKgvnfWKl/TECn3jhmKRPQod3Zp8sqrAMDQdgJV+NIh2wCwduxakL/yHjKomQoeCVZ9nX
KE1FekLBDZ/M4kBbX4ZaUzqPjJzgs6ANFM8kD0igF17VFNktCGN6GvkDied1ARzMcp34AxgV3SAc
OwI/50UKJok3M2CpVK6HcX1aUdNMXN+jfg3O0AbgDLkC/SQbIjqskhh6tbk2MJC6tE+D8gSjkB37
IY/B0o7jkrphHnruAD54UxptVYjryGshOEDDMhpkWkSDcYa8hM1x4fkmsCt4McN9MOQnQYhbfxYL
FrRyfZ/EIhQZTB+flk7XhhCI0V1o/FXBUXa9IUNYR+QSD1k4hNJumEHv+qQl9aVViD53M1HqC7PO
QCT5isdAIFIKb8sLA5x9G3CSBadlnyZgg7fmEJ5h7es7FhFzaXYe2EM2hsk7r7OO05myhhCYr3GU
ugktY+XYrQf2YVh+S9oWNIvIj5pbZVrt96IK6HHDW9+bgT8BEZnZHoxjJnnUzbOqwZdDV1B2o7SJ
77A24I7WMpTtaNzzbtaQNAqPq46Q9iTjviJXocHFQ4bK9eSMolIteKICdd31TNsOKlvAJoBYROrm
CjbdM5Bg4oHaCGZ3Crtk5YLTqctPwBfokeuoquP4C7EzwU46FrX1he70WvkM+u7aBM9QN8vbFL46
z4ehkR1J9bBAMV8//Jr1FvYn4KtI8SUzM3iKujThVQVxHg+OiBtYOkUCrvybrOKw5KsatAIfrsGe
SiA6dFVi1leZpEUAEZ+grbr6IjWCQskQ1WU376A7DZ31TUnWmwYsJgeeCDaQTuC1nqyz9AECIeLU
bsLQlnZgxjAvet9athkFNroq6r9Q3SF15oOaG4FrPIujWxukxUJlCF+Wwi+/QfTRKmXAgpCc5rYv
6jMvyP3G7Stegr+Z93RREHitDuJl/xgnsXnd1Qrs0hL1Tfy1tVKIt6WekYKvW6z3kLAEFwHYATad
haQP1LywUvHVQBBRS9vCLyVnsM31VRt8CXOtzkQaR6ZrkoqAYyYxwRJvAiIeqsho/FlCMlgmg+FR
ccKyHJerFDbk/hROPoa10a537FlkGvBGu2ZoZiBk2vIMVzV478DboRuQtLRBoHqX0V+VaMSd0YOa
fjoIXeEnrbJeQUQI8+YkbAkM1aU4GBzW+pZ/UgAsrWPEEK4aIESqL7qeJ7dRo0ppc3XM0q4xj4fW
AnBihNWwKJI4zy8yq2PnhkYsnwVlljZnft8WEDkwVRrcgSainpDIYBuBrVM1Mg5UCxG1trFLkAJ9
eZv4JQ7/xPlA7UYOoIH194WmhoDBlFfNAm7E/qnhFe33wEdG4yRcgdskBHfpTacMcMNUdQlOxHCo
YZKGREf0uouTwbxMrSJJZFk0yLpgOGCd04N2o2ZtUABqrZ2FvqwGnsLeoVQywx3tKrdJwMmyGOwS
Zn/MOp+7vdcjBa55ZZVfW7PHd1FQwVwDSQeOzMRP1XUmMgwbLClENLfTwGplV38jdt3aWMZxw+9N
kpWt25q+ZhfMS+zmS+kpUYFwhxk9K0IKaILh0HfnIdVxfs6rIqDXpEOJdeJ1OUQ7wq4z/Iu4MorW
TZUHewZoY7W+SBJw78lKxP5cBXYcuG2H0ElfMlj3vWXxUDIv2JP7/yJ8rHKV/9Bj//9b9/+//w8G
CcDQej9I8J90+ZRXbx0wL8kW64q/n+6UddoEdGEips2ghh8O9HnjToEyEQLNMMEzjyCIBkbLzxgB
pEZAljJkK6+LCsDEfONNga5OGIpLwRKE/saQNsE/4k2hz+b+W8sOmrxB6g6YsRyDh8ZcN7l/a3Pk
hTnEZu+pK5TQuzhXt0SZZylTN3FXRBJSKoJTH4FKjtlx1EMwOI1jb+41FoTMu9qTqCxgy+shzAlC
+gtiw+BALgSWLYNIqRrwjUYlmOICxsp4HsySqMAnwq+ILILktuJZBLHk3JY47y6MEuUyzcCf2g6N
4Rid6bmgakWzpAHvY6Xb8hJl6R10NjMveDNk5xEhWuYWASevp/wZSfiCKeGDepC3jhUEvhyq7C7I
bOomRgrh60qdlIU592ztz1QMkpyzdAX23gPoysba13mcU+PWGGIsvVJdDGuxOJj+d/CFRbI0696p
8naWVScRPsc+fWqC5f+wd2bLddva1n6V8wJMkQQJgrdsVqtesizphiXZEsAOIAE2IJ/+H7TjbDt7
7/yV23OSi5RV8YqktQhgzjG+MaFJOsT8oFTBs3ka0fuuY4V3pG4y2dg681fT5d1Svc6r6hI76K/j
MJ+8oZsh9eMX0lNxNJrdLE7UJYvMnfViHLyTDdhLWNGjcqsgiZfQzeIovNBc35StBVYxwY1X1ruu
qW4gy4+5x1x8JCQyycC5OUY6cCElt3c+n4Pb2BFfrC9vjWQ4ABsC+d8T3s7vlZ+YaPJ2hOox7wo1
5E29cQg1DFvtsgu/FMdlLIMk1CKrmLyztakSdx29vCdo2ZlZloTG6KUoDtCc98N0zweXpIUXf+aO
qhJVdvverU6mjh6CeH31HC737VIngzvk1STiTPmiRrumIZYH3WF2Jx+Sd3/C3VngDHS/j0lbpXXh
SfemCwZ5z4oe31ibpKvV9RroL6Wa1dGfnBs84K+xKlWiKy5PovaedD9davQAmcMCiFozebfz+D4B
wNiZwcLRNqw4oCx/a7FEE4UfJa1LWu/KebwPfW7OLXNPU1U9d2t8XntvTUMl9mp2LvplgRXkMnc3
8MJLVF3MiTbmaqhWLJ/pQfDirRcRO0iCRqhy2vtiJQJF1vi5J9Gx7gd+YKE6Ia3YgIqg7Y4ZeaQ8
/KSFK07TICksrvUe/8/5op/CCXWRUrASqE6/1cCTRjPjxduHZ8mSurSgmVcEn42qdDqt45gYI+XJ
+KNNrRNFiVjKPmlMA5DAGvXE3YIfpBD6pqJhnMykz6xcvB0b20fmw1Dgg0DZUXmJ8RXscdLJvGiq
ESVQXWK1D3DgSyUSVVEB+Gc8uitzjz0Tx8grmj3Fz5L0lMDM2FYpw9FpqmFNVC8PwQDHxqFZpdYB
LepQoY50PKy0YEhRIttkCUSUxdxkQ+ChycEfnCC8qXicKDN98mx1DvV4UmS5igN9P0XTmKym3Qun
qBPZwkWTtXc12fFTqUKZNIu4aYPxtoZbyGpQSu36ZApUYjUk2qRV1SNkjFNg3cNizMPAKFCnUbqJ
C2gCpqG9qE2fR65Wu3ZhJvG1vSw0ua3l0uR29vLI707+OMpkMSMcpuKl5N41tKIrSFs3fRX18KnM
W1GENhnr9akRhoCLYCxHHf9i2gjn+1KIZPC7ByWCs3U6BQgBTw20zKV+JGMVHsqASrKHyevnQqEL
D0uVfTu5ficSb77v+d+Jup/9+F/O5/+FPv82OP4vj/AG1MLX1z+f4d9f9scZDr5xm2fM0JWzgEQ4
qf+wRDCuOoK74RKcrb8e4sii4G4o3IgdwPCHm4JX/bBEMPAHhCJIZ4qU+Dc84G8Y/ajY/yRvhoCx
MA8QbQFUA9wo+Cd1mFnexyMT43UFa/TEmji41NKemWz6NBz1I23brK+G+iBV1KzvQpneuR2xdS89
qCYoBM1tLDoJEGe5HXhwUqZVu74xZeKtwEyi2nP2ZTMFSdCJHa8ncYR+5Ka8wxpHhc9FGk+93LUR
HNf7hXfPsVhU4uCgTiI08VjfvglOk3XWU9hJK4p0YUt5Gps6W/zCOQyO/uCxXOEquMV+8RT0Ta+O
j83Ip8cOma2zj135khEJ+a6870Yiupy1i7vrPFZmk3bcLJpimSmy4qxvSj/xKQoB7cXnOtJD3nMv
DQd/2IW2u2IhHNKJqHg3NatNnGKAKiDkfNCzufKMicE29s965heLN+cCGJZv/Es34Od5HbBOq25M
SnQz8K5ZOo9mzCUAENQgzpDjm/GPYlb0BTb5VOz6sBcJZE0oTsJ4h1iPd6Im96xy5XjsqHCG29KT
/QHCZCp7QQ99uBh5Twc3hu0/FtGUkKgI9sSbJxB3RfhRF+N83DLu+1HWdba28mapzBWojZNsxFXv
+mc2ODtl5pPT0kyt6BZ6mbgVzq6y+zpL/64c4ud/Ng93w6ZdOCF/Uf83XSnf/7x3fH/Vj70DADxG
wYCMRqkPgmKb/PPH3vGtNQjxz3fTFBvVvxqAGPIUcUMSIpFIN7Tnx97BcL8zbgXFbDhccYOd5e/Z
qf9mOqD5ADKNHxC5xwDm2Z8gIa6juaoIa64dr3/mJfCadWzevCU8Nl4rk4quqUFxGIVt4k7RbiX8
Il76q5kB2i3mtj+2Zd8CU3FSHY3+jofuzlXkfi4nP2eRGtOJLxfuUGTUQQG8URYl87u08ZoLEfZN
OjngHGrz2lLLk9ELvhZ+adLOaYH9hvZs2fQVpBDO0BoLEbtwTpcpTLxFrjkY2gZMRmgBSwDdicZ4
TIPFpemg5LKTarnxFwAfPm/Oow1Jghb8icBOyaCMfFUuPcFp67Legs7gk6kBzhJArXCfZBTfrLH3
eSpWjlUOvlQIZwatN+BLWgHa5J2ftC0vkqg4Ej7slkgVQCqxY/qzfVwFvxwiee6K7izwO6HAK3XS
+v7dXNbZxHmb19K/LDz/oViaAfvQ2KKMBsc9mAl2TQ2aCLT9oSVLmRas+8xC7aTUXfjI03DqS34/
+FX3AkHwcVmD+Twwc92Rwewbb4bq3+sXy6H6yHrfdjNNgjFUSTBjTx5J4SeiYJeC+4+kRyUylvO1
g1nQeV2Pa+aHK8/XGIIb17Gzd9R4RxzxNWwKtYf4mHqQFM+Kvg72FbrrLujoq1mI2o/a3QOo47nu
5lY9xp6Q940Luum95OvX2Yq7laDgj8ZOoe7SgrFX7VVXBZ7voztI92AHX137uoivg7YwpyUu0iDG
zjpH9DDoBU2HcMtUBPFyRaoVWkep2nkP2+bzLOcsKltxSax6h5TjH1zF4z7RoG3X70bi//UiaWMY
/2qfO79r+e+73Le5/r+HQzCVkiKOF4c0YrimJwZ18NMuh1FIQB7hIGOi+LaV/djlQvCT21jD7boP
bHLbnWs/drkA/GSMpjUKQ+qFuNH878gc35zTX1QOXEexBftBaLi4Pyb6E/QQeR13oX0OV5FBV1lP
pYZKIPwmi4Dg76OJvRoQ6zuIAwL2xFoFDgAGNiL9EJV+9Vz68I3hBKqxPwYYKtWm1VjNbt454Rih
K9V6vpFzd9WRunxw9OzHiSBrtKvMam5ZI6oX0oTrLaRdvu/cwvdyHs8KoJdUTQnAfxW7oTeGZ31o
9WZ7Om1Fcg8eo3mGxlihU7XN6ts1IyM1pdn50pbeqW0hKtzzdalRnoG39PNBcY2GGYZlGUm+B4NC
M0gWFRITS5/PfeHtp5p6kJbh4rkQDx7XCRvUoY4XuubEjAtHRRavNm9GQvvLLiqcNZcB/OGj2630
clyMUFnnK0DnlOpN1emqnEJp3nudqIf7mjTIAKAaaa6tT4W/7yN8DWtNPa1zAG+563ld6cQKFR37
xiNu/k8p8r0UwcL576UIPMHhP1UieNGPSgSxWdyStU0NdrdJF/RnJRL41iYA4tbqCADyNnT2B9jl
/gYREuEs3PWxyY1Iaf2xRrd5Cd9aD6Qdvi/6v9HFEHBgv0IaCHBtF/Mx/HRomQCa/CpFTp01MGcF
uTY2cCFSTMd5CfrMqwjCELTfKeIjKzUsnyMQspnhwRdN2MWAHjkLN/+lsiiUBy3OA0D8RLoSeLOr
E7Z2Y2bNdGU1qOMg1ipVanxbYvksSp7DFLyrg2ovl+HkE/+u76BVVv0yJjG6FrQQ/oVsYW9yJ/pk
6lilTdwOcEaKT6uqPoewfaEbrTaltr0OObn2ZprHvTpFiL3U4UqO61SAlq59lk7C7oGI5T7rPtBJ
3Y0zD0+SF3tg+W+sXJLYrAjMtCqp/dZPCCzWhAatzEhXpK5FLRV14nH2xpfaTkEqanFAxEYmnUEy
rRXw6gfoRmnZkau67U9NHZBk1vqjn4SXWEdB+WnYddlqKKy8v67CqTvZdoCdUUK9jFpVw7HR4Kdd
XlwZqtwM0tlKEVNaP5g/1VdTEH1ZS7y5XdGKWx9mSSKMfhfoVi4r1RzD2IGY4XfLXkjDrk1p2zyK
ZnxqowgSzQee1mA5YaBKkUBaovtyQtVHNbymwEb81uUIsqxdxZOelw3EYMIToBHgiVvCc3dpqgMh
tsmdsvT3ldigpxUID7Ww2CDXwKkrvAwxDRQjgSl3AVjmXTCTJtft4O8HZNtySaoLdFzndaiua+kd
h4WvWdmyj2IF11FFbZA7piTZMi5V7hXRsq9HxADdCnE3EM0LWrw+3g8VRSmIzXof+zC6Wq5BMcEi
vkPBwvbjdo5gOEF1cN2iyKapIYkhxLltcFIm7YrftLeUJiV16Y5xZHuqZUbGSvEud2A8w0mqy1MI
6W/PffGw+OZmHF2ZC4ctiRq6N9UY2KiCAnZA7OfUxSjkuLfBeuv2FpW+fJlNWH2ScNkTI2J5WEaQ
ib7lKgHr7V2HDOq46FZw8njfE6Kd8cBmlFViDiDmR2P5tW7LCG1jVOQTb52DO1S7MWzyopBQC+G3
JW0sdQIuo00gro6JU80s013bpHSq6O3q2dvKjnd0buvcgHYv08ZvrsDpDAdYuR+DXN8Gb8LJ1yEC
2cSNvixhy6XE0qzRPT3SZQba7ETTnhUyuPOd8bGM1eBk7jCCNxa+9Txw5t2XGT9VtDo1jG0k9QwT
/d4plwfPmT3g6Zym7hSfJBIA+TwjYxlPI4QFs4DNhlsBRiIvpXROToBcAiGfJsiUKSSNh7avTlEl
b+bIpI4TXZrwpYj886jo9AR5/32mw4UNHCeRqGQzNo/zxQgm4xDHQ4X0AZoGXrsXPr6b6MR5moKP
HghD6q3NpTu7XjLF0ePKQKCV1cpQ+LdfUZugp2rbo6qWWzC7F4hWAJkSE8lky8BLlx5s+kmEmV2U
TaYSqq7GX5cGDVVkSLhbFnyEXt9ejw6/b2zx4qrxGYk27IJuN2VRrc/l7L3amlIYIATEk1F8540e
ZBUCbC/Q+VQZ+CKr10Irni4Rdvg8Ig+cRU5wg2gkS1QbySMLQ/zNwa2gaDZT2g3qPFbuAW6nTKeg
2FWu6q/LeFiSCkRL4tg4G6x+NwXdonplBuCIPkPJaMNcSXsp/eGLCqKjHMMnmJzhsWyRhdXrG9As
AEjKHvBLNzvhA5pCfCtraHQlKuwysXKgxyKrFjsqmZR3cHp6WOYeTH0JjK2cbxEpvmh8A0eibN4G
Fh8iSa483u2doN9zgEf4TBHt9fB1+CpYWaamHD9MGd2AZBzySS3HYctRjFtGJqhvAYs4OAvGtCHL
WQzNbYsIhleKhwb0q6DyEG0ZjRFhjaYcUjj1OpGFiRASWw8FYLiySZmLYKxB4ANqwXsxIleBc8xZ
9ob5hsHfqZuUU3nnllr/Uxt9N1zJX8o0N2ifX82/NzDbq/4ojqDFxNBcMFZkq3I2x/WPBma7ZQNt
DfjbbwIO6pZ/FUcB/hMyVlGIqxg2M/an4ijE7TthHPre75rx3ymOvnUov3QwQbTVbPgpGDRo3Pfx
a3EUAL+VpFiwczczhNxymmA1sr6+rIomDbY2Q6yfC+Se/H5o9jMHk1IK4B+iSELF93HRQHxBXFQP
4IWJQi4KAQzMXjmPBU9pa4/EGoBch7BynhXnCPAikcqvvSrml6oEsUTDrRvyIJjWBtQDXdavzVbP
L2NYAzxgzxFoB8TPnQEn7vC8qvYw+8hOkXC6KeeB5L10EP8i7nmd7LIFUy63lAFo+eZROuMCyMJ9
LzvzMa/+V+Z08JjGWqSIld+3zGKJ2+B5XpzPeg1oAkgXdiRFSbXGV5Iuyxlr845umUgr2zWxBcK9
mGSAP5iPsBgD/EXzBVBT5vnK33aHMikK5HzA/vXJqsgXt34KlxsB9guuHvK9sz7QKt62h0FnM0El
moa1a9tECkKGrCPLfNSGDPGrVwbFlJdWtwchJ0jhVtYHt0S/1VTOmAyB7XK3QEoKLLzFScianbss
9ZH4k/ZSWoJlXfg83IqlR5W2Nvp2Qp4BNcTU44hq8FahN03MZuiKHpVRK2toTz19Uits9Hms5zzQ
ATZmhYDMsMWl4RQCRYyLcE+jebmFnxEkaFjdrJqnVCAwd4qbtU2QlS4vi9CtsjkezUnwKdpbzdGV
Bjgfsx7mL0JABNGeevzwY8X2vejHtK9hHHrUeZtglSW4YQohua3A8XqY+SD81QFmyDs25DAZe1Ct
ssOjqsGgNe5oUhVWzQ0jvM49s1mczlLmsSeDfdCgwqsnE+5xgL+31ov3oCVF0gPOvIlWxU945xAF
Lmb5yhQwYX8p3UMBWR4fmIN6HwVqQrwBMAxYeoh52pFvHdhueIbwA0xoIN0zR5/nSM1nPo9olIWA
sYkpU/tuoE2ODy9IChN+lEEEq2MRH54TkL1xF0fA827Jvoo7ZOIZC97cdhMFUQWjFEKZxFuNMrkL
phwygufgp5SwNyWEVKw5wMeV7x7mtZZDLiq2urklzO7iKdTVR9Oq5cAwK/oW/FcPJTMy56FYXX0m
SIdr1z7AG0UE0W3CBF5yvVNN/7g4CNq5awH8AUJCboSFLGieHd5/xgVCiLqzGM5Fiz5+asHmV27U
gkmoHj2pEMo05csSrwiHCS4ulpFBbOygOq7jLWZvsCSkYFWVjPpjPNJ30UwvowuGljOEWmLnY64G
k4ayfCZOdWoCYNB0jvYE0Y4UQc1tE4kv8VYcxzr+UFinzojnYmjZg8vCm94TJyTpIhRN6ipygy/w
aT5PjWMzT9ubYdXsyLQ+qNXcmzX+BEekyF0ETNJ+3EoTVLhlUS57AoM6raQNYCzL88xNqpm4466G
4cSLLhnBbZ5Dd321gCgxvME/wKo+1VFxzch86ViY3QsmjGClQJeVeNg2FFomgYzLN2AO8oXWQ3Xg
ZCqBiIwksVuVjdYa8w6oMkmAFGVsQuxZ7ihzSvobIAH3dKvXq61y5xI1vN2q+Xqr66Otwl+cge4w
KIAmhZr5bbt1ApBy4MNti2fd+gS9fdNh6x2qooz3runKu2brLFAYAHjfug2z9R1OaON9t/Ui69aV
VN/6k61TsVvPUmzdS7n1MfHW0VAdfgBtXrM6WI8Lmh4XzU+LJigc0Z2R2fX3ZOuQyNYrIShV7kQU
on/aOqlg66n8rbuqQKKXW79VbJ2Xv/VgDMb9QWx9mb91aM3Wq1EBCm/Z+jd305ogzfLbcOvuxNbn
jVvH51Q1gohbF9hv/aBsmyDBNvV75OMfpXYzkP67DISZSK/Tu/5P1c72wp+rnW0eE/xn4uJfKGn+
qHbc33AvAbgzXOwK/mzzg37ItbiObLuIDJf7AsT91ZSKfkNpBCQNFtcWDMRwoL9T7WzJ+V/yOiFD
BD5G9wsH3cfN738ytCVnOFImpq5djDg4IEK+FxyeCALX5zGaFriuvrmwI0aaEHcFF2HHG1kFUANk
+6Yx6SQzjjmA+wjzmOgl5TMlGJEj+hQ6BM4QZ/YzgcMgiXq6Zggktzc9KiYRrkBnNCGpddczSO4L
HQYHpmKoC47Y90v3uWBcpWvPLle9wM5Q9XQYm+HEW2wzdRCeVlZifE0QXVI/+MRDOMVDyW7jOaoz
qUvQcPrVDzGXg4X8cWrDLpkRrEKUIJrSelovqYw+2wLEuUfIU9yoz9RO57j2LuaoeXDC9nJA+ByT
J8QnqQv0VR5CIsW8jcS4k7Laedx59kub8p7vAN5FcO66CwyRefIZvSKirRIR2v1kAcXgoXgdGuAs
0uKQdaIhL+kqMOKiaTKiLUWKol9yxuSI031akBNqrzVS8QitkIMSmCQEkupqboDe8HX29mE97Cra
AxCbKlRKnkwdf70hBf3iD91DPS47ELJtQri8sQHdLaI9lgDOkyIyN3SMPom+4HkXLE+0hIlWzmGH
YjOo00aWaofxMQYzCSKoe+uttjLaeaI5Wa95F2sLYHnwP1GBYko3fpFSFV9XU+RfNUV0sIzf91eB
OFJQeQgnnelSVSlGS+7KaIIn1gMmHtYqH8gwAS5mT4Jigx176SeNKvdwQGVSt+pLHVGVVQN8KL/3
dg0DKuxCOxyWQ7nAmG/b6k1r8h6F/jvER37gfXC1YdZ26jmicVObV0sTPBLUkBlieuiwi+2M7U9t
SI9N6CG7IHaacSBdiLXki7V+6nO67Nk3x0yG45DPk3NbdvPXeK1nnYYuuAoXfNzaBwaYRX8KnN5P
ezB0Md24LL+AOs8ilgUBO/gbdqe0fUXg4qF0VTaZFgcrGA48uniO4s+KTCQVG8AHlavPy5jbvI5Q
l4NNiqBaAPnDtAJMrwqbu3hCcNQvMNkFfKCM6UUxGS9pN3Sw4RXWRdSMOB86sGkbYojLwt0d5ik1
qQty+7yARCxAJJINTRzAKLKttt1CgkfMUzGJGGaQ6StIswBsHEZMXSuFlYIzwyYAP24KkJCidd2s
2+BICkqykfRlADVp1G0ZBF2iAVQy1hZHS9WVLRqMjAB0Gfvqa2DQB/XAMdug7fKoNnXmWKfOUPyA
dg03VrUPeSZWZw+orlpf/A3z1BdVdTRAP0tMLMJkCzwGU1u8Lhsf6i/9ZbERoxLoqO2Cg/SEA1lO
PDq8fq9HLBlfKjzbAE9NDLt8I1Fj5ACBnzcPiON9xBuuyi2eO7IRrEryPECDkzgd8LiJ9/LC8W14
6YF9xcih/spOiLcggFblUbwWmd1g2bEoVMo1AFoxT5eTrhnATtRdTVzeC42nOQy4d9RNJfKgwCeO
0Auio8t6q4qOgvLBNADTTmvageIlvR4hZmJhibUvMG0IsC9Qk2I3oXzIVD8EB4HPa0ODa2TE4Cn3
t21Azg3oYbdwH4oNTvP86VRsuBpZV1smRmldXXfW0091HJo5p6j+q9SM1XkcJ7Apw0RaH9xlIUEq
leaZxVwEF/9YQ9+tofAvawJIqt9m8Jrh9d9FEBev/aMswPjN7UpJnP0epqGzn8sC/zdgbOEP6nyz
gf5VFniboQSlw48wHWCb/vfDxcVtZx60QMBp30H2vzfQxkXt8WtZAIUFuPpmE8GI+la2/Ayrx220
xhIs7HUzlQhpprpX7qmxXnCSMGPQEdD201Jh5l1knQsmscaqsMV8mYpmQqJH9IbqwfLhXDN7P7n2
YinAdXeCxgnyGwjilCvyjcPj3C5XUUuOYUmxJAsFoQV4hbUY1zHS1IJ5KVfsKS00eIzYiXGGxXaP
suGDMD6k8zfcqqyXFGEPP9e1A4WBBbuxqhgmrUDCxKiU54UC+TRNsORQSdvM1d1DQAHtBqPj4/zk
KelWN10wjS3gPQbIyeJzE3vZ4FNA6MZkYTm/0bFGp9m3WehFXwCalulEyyeKLBUqagpFhyFYhe4U
icEnyoM9izoU8DOBsqOdhJgWtf0UZpNiB2OBCC4B1FY4Mm+LKt7awV67SvQYlTI8l25cpm1Q7+va
HmEdyJ1nZ53pCbIr491X7mKsmvXkU4f+Hps0FGtM4nqnhb9emXp5LbuwOEPNRmQ59NsEonzuSObd
+XCusgCBVyguAHIVhsXs57k+e2E/YQtALQb1V2NMVzWlaxCV2LwitWsW4qYN8q85E9iJeLwCbPGl
uVxcZrMaswp2DNx5VjTOkg6Q+xJtagHTCKHcxS0xiM015RmnYLNHnzzc++G0PiJzIDLlIshWm8a9
BJEN2Gmu62elQQdDaqdPODPbO6O9/kZQvzwytKwXfVxgJ18adULQTMMFCYLqAhpFt+Us7cWoMekx
WVu3eLOsdBiCQU5/lL57W6vYy4WYu09Qg4JpXzCfvjiQ2z4ChtOz3ZDCeVjGvAZluLQIOZgNPJw2
BNFoJBjBJA6YqGLBKPZgFQ2YRYRN49Tpxyu94YzFBjZG7gTseIMdow17hBh1FWwgZN+6yOJvaCQY
SQR0eVJv2KTcAEq6oZRrUHuZ2vDKaAMt1Tfm0i/vo+8QJnBMtYGZMMemxxgx3yPFRK1EbACnw4By
GjCddoM7kQLN7IZ7/rOZf9/M4Xv/9wYve2/+5wqP/H/y+vHCP3Zy8hsWPVo173do+acGD6PT8fBg
atkPfvDHTr4NcXGhwiB2jREJ7gbd/NjJcb0RYqSYQQFsgOAUwECzv9Hg4Yj5ZR8PwBoCKgBTDVg5
CLa41M/7+FCMlWlW6d9IWDtuXV5EvE7JtOQ/vTM339Xx//lpJixuXfvlG+E3AfSzHVnoZjGfAxn+
X78Rkvs1nM56vgFlVB8HBEWDPFzHU1siSad8XiO1HMG/GdR1vIwXfd19inyNXCvSIemM/Htea68+
TzqMM6whDLFYMMTSCbuNfdRPs+m6tGUCqO5m0QvT3Hf4hqnfNTfKLTHPKJJIHPZ+nzHkPVMCVQb2
Lzv3rU1jwAmpRLQSMw4pbO1a7go67TDxZshG0IeZqS0E4OCzw6LLOBjjBL/mkwgalaKDu0cFeee0
9spxwquhdDEMcIblhbkvRyRBMcax5dhDvE+Y0dRgaug0Zf42AWqchlsESndzMH6OmX73efTC2+VZ
b31UPUYYL7aUN6EuzhRhyR0o1AONC703QuMT0vqTovxQMsxkbYQ4gwN7k7Ood1Prdtg2QCs2ynaQ
/DafGZXszhvWF69tt927ug4YNuYFOqbTkayn9csYeZ+0gcFg2zFRHqb19uMe1cQBrZMDmAEp/xkT
ZBFFQaBf+OG9s3RN2g49w3zHl3hAC0NsNkKWTswY1AkeiIxtg2E7U+3RvHywBc2kS8NLZxox30qC
pegxJc6Llit/RtR4wVi6WXjlrvaaGyR7qx0h835tg0vOIboPXrCPJ7y3YoZo5dBwyro+fkEJcgB1
cgeldcnIah5LimQQR8ozIUNzb+bx6IX1lGnifnEx6Tjh8/LYlGW4t2S99i10byOqCYFU/dVr/K/+
3GB6h/UOqomPEOs9jIKb94BObluM7LCRohcRWTGNtpFf1qp7EpERaUvVA4awYaBlH9WHeSR7kBap
T4odPGXkTfGIIW4UzADarOhfZQU0bLcyZ1jSkFqdeK6tS1gPvkbCGZllmbnRvPPYvBnI2p6aJkTW
ZfFSzOw86oB8nd34WIbeblrRR2IqUDc91iHZbO7Zc9ckLIHajtYrs7ryjwSNkAdiZNi6ZNa/YpTg
nVc77yzGx9RjPJjC0wiwYUI9ZgboynOm5to7Om0IRGOeLpjGZD4HFVZY1vCUzVRuaYD5mVaRyS3v
LnnpFqnpLMYXbgFvc9FVQGsHc5jn4QnzS9DjxBjxXLnIwavLmmLJElnfIOR3bhznuDYQ+6F/C4xm
XcAOTeVXOmMqSTVXkHtH7w4TF/ZWDe81hgymdoTNT7unWecIIB5FoBG9dw4LjaAwuy9ruNQprBqT
LM1LE9xPswFwMZ46xZPGwZA7qVN/h45VxMGArorkMwkOk0922hOAW9Zu2pOoGnauB+SHT8GLDDyM
P1BzVjhaA93t9qMnrxc1P2tVAf1YgkfMjWKXnYMJHw9becQZRkQflN96zf9vG928xX95j9suiuMi
wBQ+qIFARTdM8+ft2hhDgv/H3nntxo6cXfRV/hegwRxum+yoVquVww2hyJxDkXz6f5Um+JzxeIy5
H8A2DMxILbWaVV/Ye+1wtuezmH1nZW7Dw3RbXe7TfqW8lo8Mufes11fhBSC8IUi3xv6vj3Gp+/qP
l/cc7h30VzJB7+eXb8PBGhV7WM6j81qHe0/tgTS/KFWx+vuvo6saQjhdEs7UP9CcvJ47K8Fof9aS
I5CrVZ5/etEeg8f/eJ2fb79f3k65FEZXBzMNU+LPv0/DiMYatFg929ZFa6Pbpmk3H//6d/neB//x
Tfvxl/nDiwyxqnY6iu7zuOkecDWux5364QbSNnpZ8Blb3bRrRGMbfXd/coN8dRovk81Dtw7X1+lB
rHYU98c+4F8Mqg3/XT/89c+n/2xZ+uVNkF4lUvQMZMPftoQf0Fk5sCCIkqp2Rll3Am2+Vi+1R3Z8
TH78IZhXh2dtO/mnZiN2luUXFzA2r5EcbVDh+98/yj+bAvkB/u+F5Dr/v6Bq8a//yUiAL/ytkMS+
gk0Nh7hhcnP+PBLQSPPQVXwoOhEPFJr/Hgl4/6KGNLHL6QA2KDR/GAnIJYJuMhVA3M2Q+e9tCkxp
ovvhcID67/J9OJlUgP8OE4o/fM6bKJwsRRvxr5vVg5AG1pHlnkLpu3LSrj2DssLmymX5ZJl173sW
iPnegTzvsh2lSRlLOM+IPSH3tVx15iMjQSdowZL6NUCxzUKQwKaQ0BmKotbvzaFaN6E3+ui1BWPB
hbA27nN67ZjxgHPv4eLlVik39oIz28Hhy7MQ7Vo8v30yPYaSSD2m9W1bxTinlcTbaWr0XuIYnpBG
IP47VWpMxyZNxWqbapvZgj5e4zjORbJFIrD4FV5kpsnPYa8fervugAFBOB+jfBM1gJYGgYGVnd2b
zehh10ubcztZ88arpk+7sj/R3acBmsAh6HBHe5PxVOpVeaiHvMJr5r6C/bqOpaWaH/PdK4urzEI+
ZoyOr8R2BdEd2umao2ebaZhCLBwgSLw2UYUUKmTyuVjFp51r60m6Raq83kLI/3BacSPsLNoxRyBX
YbRY9YtlCdJEsdeDMl05sTBWCZ6UBG/KKE0qeJUqNI0w70tpYUnxsuSj2Bt2/wLqBtaHtLsMDGYW
aYBx1fnBzVEgnqeOZrjuJwQOOVeid4yBxy9SFhEyqV93KWKQakImZy75tC0S9jVNknr7WrLojUy/
R8yFKgCA1U5349USZcbzojqrulh53nA32Hl0ArlbH5Zv2n2sZLvaqtYiVW805tQUGS5zdxYWq0xN
HuQiA10iAH2EMWlgRAgXarueAquCy6Yo1TlKw3Blw+DHunAH5IwxdAokYKAxgtZvDiVvMQOiMJ0e
ayv5cIziGLJDXZUS9S/ansW+MryaMgYgNY1nRc9fKK9xSEXOdvbMivlWutNV1iAyTGAiVUCR8QLN
4m7mMgsmogdKIgjs0AGOB6YSKN9tsZRfqkwrgEfGBlkmGNQZ/KaRUAOUH0+WjtSQsIM87o8z4Qds
x156rkuaBG/VwGhviElQiUuYiE2YBej1JtQfogJkb9yGd0DZLvqUd6jWI3Nj1NStGUEMJYEMoSPu
WUsuqzzKU3zrlNRAuN46YhxEm56iut3ooUQ8OOOV0MwbQyY/FGFy3RIFgYXXN133EAFXGGxxgT3j
LZr7B9muRKWFfNm6iomWMIiYqFXc8Fk3P1noH7ZppBSrLEGTxzGHG6xBuANWalqFgMV87CJPLdEW
hjdeZoa+j0m9GGT8xQi5x28Msa9lNAYfWJTRSn7DAv4N/hxaw4xAjcV2t5JUs0YQ6K7DntgNZpfF
BtTLbpGRHGldpOCfan/qsN/rbMblicsppVXrzBzP1UAHgqxL3QxkfkQq4AEN5rHKW8CZdG3M9mU6
eO/4aCRv2L7XbfPSMJvUN2SkyDjXzLXkEdfGC94z9VYnfySXQSS6jCTp0Kp7mpXvCvY/mowtiQoC
TDCdPA5LdKup5psjI04i3b3E+Rtuo0hRcLbkN5qD4hw3hwa4yXnToYKtNRmbYhIHMcsglSLRER65
8yZDUtn2S3ibNug2kla7K2UQywDl+72OlZMtQ1pwrGKPSx5FPF61XrwrLPdroQRe96w40SqraMeb
GvJoZykAwruleCwQ5UeXi45mqUfPRtSDdWG57Z0n/fStdNbDbnyplsRjtTga+JuXJ/IN4COO3Zvd
K42/DO3ZTPJTjGXfwLo/YeHXpJffKNsDlpt1Fpn5euita6z7l4MHnM2WJIAUJIALGkBVGFG2khZg
CRayrLfuDEACSchcGrBAKgkDGao+fprlyZPwgWZ+KCxxXYv0zOeBNwFMQQGuYLEYZfZS9T6q5ZYt
90AD09+WQA40uzvAErww1em+xFsUAkOwgSLUHukDLv9nkrwEJ7dpyyRDwbOZ5CXIM/xShb3AGRuI
pN6VoBdayWBwgDFEqY3kR/IZLElqANcAs6FO94ukOCgZ3K9vroMkPOCM0PfomZPAk/yHSpIgMrWF
DS/pENHEmEDyIv6pyn4Z71Gh/PeqbIMIuvyzkoyv+r0kwwFsU/gwjwM9oJpUaz+KNwDSUnXZKv+G
ZDf/tqVxSFYDKcqMSI7vvqu137Y0FqACVBuO5WDRk2rVvzPbc6Sh7+eSzGPd40E1wmlHZW/8oV3M
ClwOUx86J7Drh6hvxvKyF/ps+2kx1jWsvmQgVUR0HeTFIpoeKk967CuvRCbfp/HzZHS3wAbnIO7K
zBf9sGW+HdCHM5lQS52hdE7cipe+4d9OeFCtZD0rHYQxOGA4mXrmJGhYRXGDb+dRDJWWXfcYZ25R
Zu08MWFZC5Fv8yRHaqKcsrB00SKNDR4RJXqe6z4+h2Gc2Oc4n52zVboMW0zQ/MbKRupRBVZYqOWd
DfFyE3JOiXVHtksPPrWLk4eBixiaaCYeM92LcSll1S6J05REEbW9BI14EIN1Y0XmjLK0fFCX/G4w
kd5Xcf2uS+2IHQ+sXqAytH3KeWa8xRIR1yrmyR505CDTwxAnlm9QECqjEigFR0AkJRNmXWuBOwPu
6UrHXGtm/MiG3mVOlLHEtm4zV1ylyLiCWUk+dM+5KwbzUzXTZN0VvCmW2187Rsbdh2Rhh+AVYX1U
Zy+zAdMuE8lOXZjRNHLUVuTuHc49fVOVWcnGoFdWU6rvYszR5Ti2QSGSvREb4AoKzFHAAaWkNivX
etpAslTng1Hr16HMQIGIw8rB1HdVxqBJdzPhe/Ok7+dRY0g4qB9q5QXu0BWgPa0QOUK3LUrvNYqr
C9tzLjqDwIXExYJhLN6tE+JE8CDyTaHyQWrMJlenPQ7sU9RiVsGEFdTtYu+KUi5Qwvqrr5jM2InI
VoNSvIvYm9jjlE98pHvI+KOzs2Xpz8frGj1Ej3a0OvWoo6kbwzOs0msrAosTxdpNWCv0rNyoK3Vq
LR9bVSeNWkFsVU9DqhOpFfWHnr9g3w0beBDJdrJQIdlqU62X0twX43w1Ndaj1vUnr0/u0h5OcqJ2
D0UU38SgCxE6DFstspU9h7YBQLC9mZ3wDhfJ9dIMPCIayy5YFaRoJcmMkjI8D+Gym/NQYQmovLeN
EgeqWWfb2eKSWjQvR0HFwi+yOpaCqhlAalwOVe1cpcA2N5VrCb8eSsMvxrzH9SSOKHo+4GocksHF
ct8ll3ZasytUnQtIFNpW9aTuj9QPjQcgMLX0lRQcsZm9/sprzaeRgDWfR52csrmw/Xgwvop5WGBX
VzfDUvv94JB2ASnDcSTUtqzQA2TjvS6WcqeYfDpDWdJ1efKZz/rC5eg8WcK61Zlh7scqY+rc6nva
RCMwXPcYj7jQbAg7RBGZ5kY06VUS2fAHspsiH09RzGdbxA6QsjRbJ4V31qOy2dg5/YQg9Clg+jmv
mtK+ExqbV7VVv0LdfFGN/F01rH0jDO75qKefUPRPs1MeutTx/KIoHgrR62vdA4Ey99o2sYvnajYv
LKWarZG6OoaB4piTfW2kbu1A6FVnuNLNmyEAl+gWjnXJABus5tJWpn69ZHRX4/LWGvpz43rGzlMJ
lag957wMYxm4fYy0p0VPisavXEFceQcjhE3X6W/jssdmUqs5kVzVjMQ+SzlrjZfaNm/7ApKogB+4
wdMsAhihKerOuoQqpZ5G1EZrprqf44Lav7SoLFN9DMawcnZZVno+qWH5yhsaMj1UOjbMYiQi8SRr
HbgCNRTWKZmsBJhuM7Hy0OPA0JsbUVLAzC4aMw2KZZaUE3+nBHCWMQeJlc7BnMb1ZeGI/VyEL0U5
kSWjmMUa7H60mgw+rXWbvttOSRcWpsvaKsNNZBrzzi7bZl/V5iZDkBbEjp1vXJfGj/Nw2ZZp89K6
FhhWBaNPuCXslMZWgRNMYpgHrEmoK1YI3mZSSvJMgOBd26Veb5xG2wOhPbJPR0VXpO6WPhm4G8ZV
Pxzn+RAPw0cG02wTw6486DVJghb6IRIsohILQLncL6Lgb4NbYWOhF1wpFPerCNbryurHPfBSpu+a
S4CIBT8z9w6ht1woyVJAb6W/CbPlGuhkgLP01lUc+7h0dHrxgDqP+v9cD/FdqbN4yKDabmqDOmyI
lRbue/9uN6gdCvwj28llgTVryBFgeU0rLY/PfcK+DWF5kJGCuK3r5YIgoCM0uIAwk/PIinxtpI1K
Jg7tduK0J89K310ElXkXMpBwPNpU0hVA6Vmgt9x5zdKYsfPSsF9SxYM2ZK9VppzzNrnNQL/50Ozt
ddpq9qo168+cnJWoUM1Nb5ikBCUm3xKbYiBy9bkGurwah+QUegNiP00dA9G0oV+F2UXpkjqUTmn0
0MQ5BLfw2aaZWuk8ujCdv/B1PluGArajP9Xf25C+eA8t3VuDE86AAOcPQ+Wy60vYdeiKcr2otRoo
eXKpIUnAM5Fd5MgpfJM71SLby0cY80mUHDau8OiGc7HFyXHAMukFTYau3yofi7k9TaWOhHIuClBz
ps8f9EAU4YWVFx9K7X6JifbRZoIConwXdukny79NN1T9tgN/3NX8U1EpD2qqwka/KFJ6lcFB+5a9
ekP6BjPVJ+9NxQDn7HHmyk+NG/md3R6WTtC5Zfx5Cjr1lNHPtPB5TkKdtlg3Pw3IKyvWoLdJGvEv
c4CPBZazNtdWSLmZx/DYbancXqjA9skE44lKh52VfVisqvCHOrmyG3cVeuJRM/jm9VShcEkvMqZW
W6Po301UspETEq2DDg1TAVq88kEzuPA8cANWrCEicY0Tm6X7Vgja0Q5oh1I35zrxjqCe2KKiER1A
JDCdszS2gsUWex99qQ5FQCPBkO4C6RpolQ2eZGY/Cws+JLy3xdjwq7klQVHUnSs3T1CQkMlWmu3e
MeKDmNOvWLOSTSTcq1lLt9Wy7chl091tO5eBNh1dJbvDzMDK1wREzxp8m6YjzEWHQsZY3gxXbGwR
vbl2cjT1gZyfUI35YzWvYAGxFekCjm+tju0Fj89dNDNWo3970GoH6SIqmK5duzsjync6Ruixz4LQ
Nerr0m4L4HxlYiMeNC1NeYzHqlJ9aIxde2DnJwrmXmJ0R3wdozJfE/zxUqpWogRmyPYoWhyRgODO
DhVkxNWUQSqn59wuXkRDXykbxUmJ68oUsUnMKjCLbAjCsXrCagi3wcVCNM6RBmg4JXShvBWmPW3Y
5nwRQ/JoJvC5CgovJUz6DUF7+9gxX+FznacEp0PskE0VJ31BsApPSJaZaIHEqK0UBiNcJwCwMpWL
reNK4+8n/3bU5oNHTJQXH5sW7E1em8HUO6exT668wTlKXdeq7NJXzZuDzjOP4MWobqr6jbsF+3ue
+1np3ndJYh76Qf1cILYTd6miRh7dnTkOZ/TaOKxkKgKtxIq6RgR2WH60otgZ0LR8XODLpunso9kQ
W5CNJPEirbaKSuw4d4+eYE06W1x2mKt3w8gTneq8IHhLPzPzbtVprG27xV5hQt/WOtWup2UvWZP4
ZnyV1eitcH2ICW0Y5i9CS8eTgvCGEWV/VVjpB0Z+ViYaAvU5OVWRerKA5OTleDJ1MhELghWaoG2V
6EAI6iMo/H0fJ8+909/XXsWaEGcQQOLJdm7ZivrUvae50V+SGnAYvqqNUUT7ZXaWfTrkL/yA97Fs
7R1qwXVMlOQFp8KLWVTjY7GM2J6a9GIC1h10IwEDc7FcinFGIGxrT/WosrfMrgVeqqx2Eb13PZ8E
7zm3KrDE8WNBHsY/Df2vsF/62//e0G/zz/JP2DkqX/RbP69r/3ItxIy/oAC/O/Pf+3n9Xx5wQf6D
YEZnB/Pvfp69jApe8Pcdy7+1OjJz2dXBCvI/bBilheNvaHU0m+/0cz9vWtQ2Nt8TZxv5z7Lf/2FV
B9uFPOHB9a70osXQbWlLjdpRRsMZShnrayuGUv3CzLK9Ri1JkFwxEr62EC6Hg/LYll7GdZG9ZQwa
Z4qFUe+jzWyaTJZqI59kjN6yL7FkrYfRu6ZN/ZKca58oN65Dfavgz466hF6l2ar4tl3821Ot7JQk
f7NagAFOWh2jVFxn0vJt49ak39s5Khgo2l3IBsIHG0CAQDpv0SSddCqgREeFKaSlfFDn3SxN5qWi
vaW4zidYq/vWdZ5wze+XVrxzHl4S7JcTy8vv9uyhce+ljZ2h/2c7u0EmDe4pIk5OQ0zvC8NRJAGl
r4/arsEXP0qDvJBW+cxQWpIQsc+rBhHTA4rUoKuWRyYGl+QHkYiSYr1vpQlfZyQQmyAujCHatNKo
r7WRs07x7rt4+NlRjUEjbf2gEp8LfP6IS6n6qyso7uiTitDaFBIKAARlT4iyQ2OI51xDXRGowhwx
8YMTqKVMk9638KG/IJ+YrwsrI1YVxwLxax9zMborVQIKSCRhuYIiwYjmV6IhId1q2levKwcNugEi
xWMqcQehBB+M3wgECUOoJBZhloCECVLCAjGhUErxxN/zordelgJQO6A3RPA47dMD/NpbIdELLQmT
XYAIoYnRvZcD11iSRdEKvnsVI1UnGRsJfGQ5+7xzTU78Md4mroskhdRJ71Inre7gZNW4BStc7Xlf
anVtqlCIoZ55tyHQAc/PZ21iBVIxDhit2dwyvjfzIB+maKvNVczermz1o5Pnw6Nb2e4OIrT69M98
83u+KeUZ//04vPuMX4s/UaHLr/rhPDQQGMIilyazn89Dg8UyJEVEE+AUkQ7+fh6aKkhVDiiXBQ/7
akQFv2sXOQ/RjZsya4yO8Xsb/TfOQ2SU/3Ee2sjZ5Wt5+KZs54/nYY6JPefHuBq9OOsC8EQ4vWhS
JEVkACei9TjRaCYwTfF4TJI5Ukn6iAaGpCd40q8NQ9tE6XznKlWzHVL2Y6XG4L+ysQkBNIm+0SbL
N+bEtqtBCQzgJ52Lywu/hdjarR0eY3O29+nkBHajG37tjO2lpZvDyoIYs5kc7a3H+q6iwt7Vojy1
ugSw4F1l4gGUhc//tSMpLY3ktUQZ5BY1L6koXZu1qeS6RINHbewRxVrwU7lTtkmjQdlpkgeTSsuz
CyJGK7kYqC9I7O7LdNzZ0qkeSapMbxA0wmhVuwr1tEJQBX2mlxwaR6MZqXn5RRpuWwcQyixNuIu0
48LBaAIPhy65yFcpjl36LOh/SBP7UseuhqnXlvbeqh9ZRobpTWVRmNocsorKMWXTiWNbmbcLkj56
KipytIF++20idpX7Glcx4UY7AkncvUXTy1mDgA8HstE47xWO5EZak9FkHdAvnK0+vItGhGQCqfuI
m7nF1azibsa/Qiy7NDxjXHdIxqieUpEfbDzRU4o5esYlPUm79NB7G7i5L1bpfdbSUM1UNsG3jMka
9wvEktzghpIu7CQRcBGlMxuz0NnFqp3RXq1gKUpnLdF5iouju5De7qXrHm3M3q49+RVeR1ZUycDw
LYnBaDcPlfSIF9ItPrl2FHQYyCvJ3sl19nvJCISxXEieZUaOYcgcznVH8roKBHTdLsM7GomnMc4+
yJA3N6GhfdRhxqBjivtDyVI+VMgJjEpn3NiTEWKEhPiY8XHdDiqjeOQTBUNBraFRMo29MnjeNnKh
txtuxYNQuV8zTgwz696MmubQI8dqraVYsAYb7ENZ2/y0c+Hz7Nc+YS75JsGkbschUo7W8/wm4Rkh
IoMSomKVGQIFNcjJIkhs3Eaj7REoN10ZY7jTrfIcT+WVnbl7RUk2g75n2BmKS4/v2Zn9bQ3axbeZ
7meF/eh4SBxKChNhMIpiz46wAdVjk7Cp6Z+cPFaDauqZ4qY14fYOI+fK671Vn5abKqsvdR1XtlLc
d9EA1T069kVd7DS984mHOev5uDMHRsyOIN20naarIteXg6vmz3GXnCwb6LKtCmefNs5R94oT/OZt
rhgA08n38assY05s91Q/seYSaa8l3GjJUR+So1bUz7k24X4UHdMGLbwHUvI4tB1lWmZuufw8lvsa
064Yb0ZbUqCQYUf3O/TbCKgYwWIIYMg3vxF2+LiE/HxNjdZtofRYer4uIi0J5W0eIKzch0v72ZAB
tNYXaaBDoqtGTGnjmUrI4231x/5733DdC4nsSoZZgoTMIBspxhiWfVF6XZhJckxidgJTTtebl00A
RuF5sY27kEmL3zJlJPeHJIYs1W4s13vWcJ2uIqO81hW24triftnesO0XRc5n3XCNLf66jYdtWOp3
Y9xdqqMSrZzaPZAx2WDLKa5zdK2IPZRDLPL7xOpRufb4eGakDRFojX7SGdg39J12KbJ1bk5VsKjx
5VIyI7ZCQqeVNv+KlvCuqSMAspoOYyKJ6+0Upx9tbV1FFYB61RVLIPktfongCRyBsux6l0miYH65
NIAfURWvlbEnLdqLbicjWQ+6svOgw3peMW7Muj2wvGPTqmEGbpoCwIGw2VHZFWEVxfwEGoVpqfra
dBPLAz0efFeMLISKe6wrR+J7+VIdc8xobog+AFrkXiR1u0tJhd8tfIgI1CDK2zLV7exo74tWX1oR
Z/bkQdPFEdho7WefJsRDNa/LFK2dhKezm4HpGtpz5ZbkQbgZft9wHWbqzulBMoC8NSVpFeEvJ3eN
SCN3AysrczTVzl09JJeLaX1mPQdlYtiSZ+/seLhh2i+M3gwBALLzWPMv6F5M8ZDzuWWmY5KcIWjF
Zd4HD9p1a40jVqal2oK+feXubNdVEmOyAS+O9Nuwr1xXcWkRLH3bdu1Tkmm3FtQNKZG615z+GdYA
wVScC6uOYHAAvjXJHhOqLt19M0IX15bXEn5RvbVpw7DJrT66cGHAnTIGAPSynIiUsoKQARZ33qVA
MrQSckvpURX3ZEEbtVKtvWL4oCMgX8RpPoy4ZM3mESJEGAGuxpBBo42tK5pjFFjeGERTD2WEDl4+
ZQ10X+sUOypPGahpiFUVTptoN7MMWTuckwrzOaGUt3O1UOYq6Uvm1O/kgvu4uYttGGZb6gj+BuF4
q1mII9hjOodFYZrYA3jjEMdBTWlE3scy+7aidVfeYgbRXHxlalb5biGuJhZnq06JjqoBbczr6y9X
wYJK7/nMlFJbK02BRrO0X7PYslZ1pDypzRBet255yWlO0tilSQkeM91S/HyIXXi+skSvfqnX20Sl
eE+TZoTX/F3U/1NHf9fR2l/W0buhAPL30VM1l33SzzLG+ZdxhPy63ytpg7xmW4Xo+UtJTKX6+2SB
KGcEyPDFVeNXctWvSgGsPjKSyIJ7gwba1XQkl78qBSiyVVWj+v63vuDvVNJ/qKPJSzZcmLwaYQs6
ytI/6AT6AVAbMZbiPKiHCPPmfFN12x+ai/MveucfHUC/WIl+1kGr4H5Nj6wBXSLOgWD8OLzQ0Oek
adbVZ0NguJHolg6JfWzopXGOVfJhpCFkyq6XKrHdk0xVfaLT1rNrV7VmP1aLScfZV/sdsXpNTGgX
kCubA3xJNBZri+HPc34OCTHNK4WwVQ8CXXXbq7gN5lhbL41zMyXdjrQAXI8FmYBJrwWW2RwI97pS
3Owtn7NXBfbLUNd7WHlPaBQZiyfxVdR3a1fP905MJJs2tV/tIEvNRAQ5nf82aYjfUxD7rwiF2zUj
s9rBSe8JnGmMzufXe4psdU8YG3ZMrT4AOf/MOy/m9DMRNxafYY1X3C3g/lTqBNmyazeENxzD3hGB
W0pRk+Cuqx31berKg2EqBUvi8m7UQIPp+n070SXrSf+YFXNHGSDeO9s8zGZbbpq0vizjSQRe4xj4
VEPLD6v2tk3oKhyTiKFoNi6pLxHTdsZ1LiAZLePwpKQGfktS6piDQZTU+6/UAQ/vJnoFpqPCKmZe
cDmYKLmaZJVnTbqzVaAy7OAif0rh8CS1jjJu5Koy6+VRI/zWkMUG/dONxRkKfz2/EwWXledmz0rT
mitd1HvSBtNT3gvNR8p56JSEc1xrzJXmRseofzfSagMGib5C6L45NWw68vIxXOCvhg1XYxVph9Yd
2qCHnrU41nudUKqIuQVUYr67XREHbpp8uQVj6Mh0l6DpvTt0ul9mIr6LzKRh2a51oHR0MpY0PLtV
VJxHvXvT0pSoVBN5Bd6wfZ4QEmqO/SZxpcjXwPJhdj3sL0X1wDENZ8Rp92MEYkvJ+31sxK3UgNxy
3TRB5USDX4ZIEEFVU/k460VOOTw3vdUNSR7BGTp542OmMvlOZvuLG+zF0jJJE8CkYkwZGIAwzi6h
9bR+lCa1z7lyH83NbWlaNVFLxlWUO04QVzF12jS9jGnOp0c0YCAE74fjLM+ZHWJYYg42puWnqQl7
M7bqfRblzPsBFEyKTPKIevbAylevuM+wTtGlgYBzDA11zxQimITzaVdgrg34afW31UWYbRPuat4N
D89cc2dFAvyVnfEp9/LsPiO3e28tU3q2DXHXNDqznPqzQKSdZHUO46P+IG0SeQfLXmR+bKUz0V8M
bZI+mmYPaBK6Xmc/lN562s7xnB6Lir2Poty0Q+rJiV3eQLMsSOgdgYsoDvVj69WV3+XclaxG/cig
WKxg3XUWnQ2raAWcaM2zKVEWp65ynmLX+kxUCnmOtQZ1ibYp8hpW8HzBWPhVmYYL0SdwQobnaKBA
4sy5aUttDV3jptKMvdCUG7Cfga1ED3pmP3euhUJKvfBEdGaMcia39XLp+s2CUIQ8oQ+WHjm7nTTI
uj5bQ7P0M6gXTtcSxcS2vK3Hk+NU67bJcmQ1S4DaSKwqj3VX6io0gMrV3LcPReJl61DvPjtSovRm
elS6T2vgkzjazsYwwej6YSnoLGnyGAanw6woa3WcnQcnGqdt07S6n0ZATiy37utTZhhPRWUC0FiI
WhpLMoLzlHNrlVVmDWYLjvK2n6vWd3Pmm65RPNArb4iEexIifyDN5hkxtnGtDtZy5sJrNm3evDa6
to9b42MK3atmmU9e7kUSpEolzO48oCShpUrzZFMshXdnFu58GRXxbRJFb6h2FF9kQ37RsnBhaNvj
cCrRa5h9/Fzq/BVFfJckVcq0gqHP2D0NhFqyrjeKTShdazU/H4BW7h6SUjkDSKqgVhrq5UrpXeXO
TpE+zDMtfdQSUcVT3j2GXjcEZu8UO55mN2jyPjDtcdyNWi+2bHgJiQYVB1NLpUDOGcxEPcoXVtnW
ToAG2DETJtW1v+lMaGm2tk1HOehVQvLR0GIttnbHyPqp1abbyGrtPY7SJwmPozRdwtNfX7s/T8ik
uUfFyAfdw2ZnAC3sDze7nQ81Xt1mOFcupA/tKnXvbH5qi6l7+r+cTj8bQORrMSEkk17D0OwgYpTb
ix+2E11Hc66LTpzpB8PsoZk3sfI/zEr/6yXkP//hJci0z3Mx5OJc82AS1LeKxxezvv3r9+xPX8Rj
YeNQsWmMP39+kS4GrZCWQpyN9q6pjpNCfNj+r1/iP/8svFU/vIQ02v3we/QoISLNnMTZdG+LZrMU
/ZoqpHRe0/l/vJJ03fxcdf38SvIn+eGV8ni0ChuMz7mhOdFKJF/6YShYQMIjPCwAOv/6F/tPh6Dm
4le3gJnBLkEZ+/PL9VE6LW2vCTYJT1qPvNu+i+KLufhnZv9rz8Cw/L/P7PdF/dkmr/mf9Bp83W+9
hkZDIe2heAW+N5U8h7/1Gpr9Lw0SgcNh8E2H46t+UyXToBiGo1L884U/pwvoJIq4iIiJUPsld+1v
bTGNn58vsDSGxYKA/CVOJdl2/OGccOKmLSelmS8nA6XsRstUbPW1g2//S12W0qLUIpKS291A1bjs
KjvLREm5nHKC2cBlQx2tgYsVYddqozMDndffI4AbTAPDVyABt1mYFec5wyjeLLa+MSyNWZSpdpeV
bX/FtcuNW8A+0UqJWBwGg/4e0lcPPBOYlGYdF/b9e6XMe8p9tHazP9koj9M0ak+1qiH7REKD/jO7
QN5fBl0t5k1rUc32TcbMHgO+j98fRSvq65M5zofMSo5u1YcXRZJnm0zxUCawpCVKW7dB65P6upk8
Jw4MhmB+Q43nawwXgmbiRmzcgUmZqTznnN61PZUHJx7uNJtZaFigM0HPUvuRNyunNrXfRclF31SO
toX+8rWk6QuiFawl5qgVexE64bE20/kerVaIuDK+jDqDzVycfvbRoj9T9qJjRVm9Ge28CZwuxxPD
Fo5UV6/0GO2H2toWqnIw60k9WiBKtwksAAKKBvvYOg4BK1F6Sye0F/F8p9TA7SoToKzqVteOjegO
fgHAPdUEAlTRxS0Z+iFTFex6CU45avEg2ahtbD2P9f+zdyZLbltbFv2ViprDgb6piJqAAMGe2XcT
RGZKib7v8fW1ID3ZMi1L4aipJx44xSQTBM6995y91w4QDItKAoB1kmiTZsLENnmua70+h3x3PYkM
0XEiCR55ciD5CF5jfpO1Mi2hPZegcFFNM4HUaL9M8p0gd2m0hUs77+o+t84RXpzKLmYTYY/FRfDP
FhofNDbMFnrJSg4yPVspyOZbQDzS6Hx5aP/1uS5TwL+vXrfR57p+/WvtWl71rXYtGc08QhLAGqxr
eCT+qF2IMzBSMGtUJOLRvsSffKtdjBUNrDumohHNpWhLRfnmqECBYS0TQiwViozb4p9xr5aP9t1y
ismV5rGBCoMShhffWrjl3y+nyOSzkBBW8QyjJSIhAGChLr0UwSfRsmeNTm6t54fIxDIUDZZ8GEr+
fy0bZx1mQFeVa90MbtKue2maeQXNePTAIT3lteZVpXGDYfFYWhyBGuMZcUhpp4v42OAh0Aw8Eg0S
Lzno7ssxv0PXUNmdJaY0qaUWRlz57MeRo2vyXoM8m0n0j8nckuL5SYZGuMrGdhdquWvhMlwlc7Rp
OvogcT4/4U7cAA5BVpW0V6MRPsdZfs+DcbDi6ol1BjeeJn8IQ/4IVOkhkaDVEWK2JpNsPRvzFacP
A0pj6RHD3q2YrThmROA0LV1GLf6A1RbblTCRYkYhMCphXTeIGabMfKgG8mV5OhF3dED7Bl/dx1gd
V/EgbPQh4twfgVHowPEX6riVCVwYSv1mKJmZtll9n2rTa1rSbNErfIah+ChmGuZTxJOlOB6DpNTs
ITAEV4vzTYtdEnJEt1fVZquT3osLUttN0idyeV8Cv7uf0NmTdcuKMZvDSyI2lp1WCsNPlJxGyYlW
k+71GbzFIKo96QP+um1opk5Dr7viONHfhw/JDrvsI6InuGZBkKrOMOHtqpmh0KA+tWMrha6PRsZr
IXSM+7YgZ2ZWS7HdFqYZuK2BFE9CUkvAdSHWBtKTBWcO8gG0edpXA5gHTW4d/Qv8fPwCQs/kgsT5
VA0ZS1XVqlStY9ZVlYv69D1fgOrCglanZwSkW0YUqAyiM8zNu76A2C2yP5BDLYBR5CELrN1YsO2B
ltwYcznt8TydhJC0HPJw+R1o/wohfEqhv+cLBr4f+9tyAcNbAoh4YI2fkMF+yNP4eW7rye6N9CEg
zc5W4MuDvkKV08j7ekHPxwMQelXrr8YvWHor2ahh/WwmWrtWULW7Ggx7nG60LVQdIZExfCKQYbDz
FP/BlLXI4RcMvgih65gGwil4TpkRQMrPx/iTCjxfA6Iv5+TzJfNez3MvLsrrXmG8EoLdL1X6Sjog
/pSBBFseBuyi/ugzfUc169umNDyipL6mu7hCMtMchuY517QGz7JQ0FYw5sjhV42MGABWInRkKphi
Hw4brA/YKvB8Ix8MkdaSIbNNQPPMen6aa/J98pKhmVqvUtYUcV1NSf3+77rytQNPu/zv15VtPv3A
pyfxmm+riqT9pqs03sESmBc+PclEkiKKMvX6P8lZv++IDbbRJAIbOksOmodlLfi2qhCXhyBGMxHH
gE/4x7q+ZdX445AG5WsJvFg+A7hb1i/l4pCmhGkpwfxvT1mih+tiiaIbi4we5TVcnhlpdGSF/qy7
atiLIZbPnqQBTWpJryOJa8qHlTpFSrqvzKiazljvNeTEZjdoNebzUa+IatHSUPFgYOEIJM8yjRr8
F37cy47gW0X+Mtd6p14ZXWfVuWMQUEP4taYNzbiShCpuXg0e6XnG2gskGMn0WPdWQ4M3rL24Ka1j
WInhNiDVy66GQb2vCsarJhKBqivI61KTmJZ1NfR7wnKnNea6/GSkSXcj6cnwJvJ0lRAOwuCtV+tx
nTZidoj0pKBFWvinWNDUNeU7xAQmgUsxB2W6lgzZ3yLjH45JbgwnCXOvU2MkKwYsggjE5fqV/Bie
yBb9+CrEhbANtbi9k4cKvXmYa+/mnFpeH6YDnWUIYhiTGfaryg2RAESJL067tBNHFR8Iaj2tbbFv
6eJ0qgFBrBOYaUyKJWTPTQMBgba+8sbX1G4qX8R+K5UgwywrlF+UuZyvwnmOQRfLnfwG1F3bd0g1
thPSuidFaxQqvowbpKQhNptZd+665J1Lmm8rS5dupSZiiY9BxR3VAauMxoD5NGVJwOBQQ7UQNY1n
WWntxrNlnuaKDlRG+APevaxehYgE35GZpwcc0c1DlxUd3Ns4h7URyUe2WYQ46GGTYA5DyYOAQb+m
0Sys2VM3V0qklA7K72KPeaTfN02yQxkwg5ASzHWlTePHoIbpxiyzYDcWkcpniw3hGPm6uMuihnW8
mHCitS1Hg2oyc68McKepoCbsUavpDMyy5e/SWtAfaJc/gtqQD7Jglmc+vr8WEsBfTSFjUqlr8TzN
IRgsc4i3QYTvoADgQBu3nG7C2hycvhkqd4q60Q362V838EAC59/K+rWyUtT+vrLuozxo/rphl3jR
76XV+o0hJFtuicBi6TJulK06cmVKLyWSNsC3/br+G6I89uQUUZMt6Xd0Q2WprJRWQ6Z5YdCp+EeK
aWNpb35fWCHiAEqBbciZUsegfTlz9JUWPJrBYH8WlPoeI3CaYTmYMskhR7hDO4fQNyJbK1EApuoj
wuYhvRYFheQ9Jc1wR41ttGoN0WeXZOoN0Oiinp3J6OF6dFoDS6Jp/B2pDeg0irSYk+sCqzPJuzcw
IF7GQSYMWVFOk47ERl380bMx4lWtwjeCU3RbXlzUtGRCyOTCasRgzZgwWWUyargB83Uo+U8UA4QO
BbHhk5N+sWkn8J1X2eLd7rUa5yaQbGPUV0U3tflRFSaCtyCNRGrkg+hIB+jisA/9vC/fZDjaAWpD
WKyZv5LKfI2OZVgVWbypYmETRRw+xjp/E5U6piACVMUXdB8Fwrt8LPPpWKhwShSDy5PODDFS/06q
zOusEF0L6Vc8X0utfj/0yOLY0Kp4Aq3jvw/ilwdxwYb9/YN4+5q3r/9lv9Zvrz88QX+nNAAThSBX
XSS5lkELm1v+W/ePwzUaWdIcZPSnuBy+6/5pv9G1JyYL28+3HdK3vQ6NQV3W0SAo9Mh4Vv8Rk4BK
cfFALuHDMjFd7HYsXbl4IJWQLEAoy+opzF7m5jSOz99dlquvj/afZAaLyOLiHYAuQKdTJEwX1BD+
yO9P6J2PrNDXxu7UzZory+XHVKoEEMQ3rDofbS1BlKojB0o6eaZCviWRfVNXsdsZLOe6oBdegTMp
N+qN0Ih3MVkALDSfhBQZq2wRA1iDqmoTotnD9Cxhjk8OSt9WDF0zqPT2iLcx4CIi9UM7tlaKaYZM
LWrbMWz8j0ETWXaJEXamNjJIA4jST5W8cI4xkLpqQ0ewFlH1xCkzfitR37twzNatZAQczsNqLy1D
IkBMZ6PkYJua9ZNVB6QTywtuRlWHq3ikl6bIRbuWEFvYU50DTI1eElk+0JBlT5JNhyGAKpDmxSbP
25ldUwUlPvUUxGDQpBEczvmLIA5sHNXxI0uEc0uGFTbAeV53qukEZXtrIAUUxHKrAOBMRGGTl92u
RcSw0rrpekzMXTyj6Q9m4p/aZFcZxqsv9QMUHXJ8iOjrkui1bXx4N0u2k2ZuaBqehZmXEx8e+vJz
kwQ7PGrsZLSDmiNhreX+mCqzo2cKqebVRp8qxASq9RBHM7K6JL1CsJjYzYweLMLEWlF1JyKRVEG9
a1MpseVZQS04q7eRkhfAYUdSBM1oOzEyZtvCfNiPdU+sogbhNyxU1XIHiLB8F6FNk7Nfg9neMddY
WWr/qBYKpm3tpDdMeNv5nETqTZj54GP8zDPU/hgO9bYgkywYYyyGMEcza9gAzDqQcn2rS8AS2zh9
xHX4QKbpIyfxdVHrO3PW1sJYv4A6gBLWWp6gNM8Ff7w8ZaMnkPGWpIY7GYiofc1RkvEAt8ak8xKU
tsrhHSoClhXV8O1AN154CtZxFD8HPqbVsSEwVOg6bpvqYyrijbkALZTypavFZ0EQbxtjcRDSBOhH
ayVq6duc+NcJ8Y52OAUHMqITmAc47lTBuAtn5L84n1dBFJDjkRG/JEHwFbCwuCaqi6O5qFQiIkwc
oUS7p+m3saU+dWUTgLuq6WmVy9MTD7eiFO+FDo+pXBETqQGqIv1CuxlNIVh1EwNfCEloHXWlca20
pPXFeuYOjX4KQK+7kaY/iKwyaFt88622WuyoSMZRciPy4/mue581chKI9o6jPiJyOGIjWuqiY3Ep
0HGUwaoWksSJMbM4UHtqdvyC6LYzuRd568OUNfE321kn7kud41Q4yTT46z0Yt3Oplg0RmQh4JAVZ
jyRXzYZZWOyi/z7oHOXsJilzT5o1zx9ny51HWbI7NS3dol1iOJgDnA1yxJAECs01qRHByvdRE87T
Q+0rr0ZSbahvxxgX78qSBIEWj3DwExlufgqPI9G1kbjUIrsttE7gUUU3+Ngl+c3Q47Eiu/Cswnaj
sqzwRDscezunKPO9UdFTgjrDv1/SOBHrlLjhqVG7AOEGkn43JjGGqItDGgteqIVHMRUfk7pfKejC
BoILvXxMXtTY1+yGSM3B9PW91IpAITCwvpUDvPwZIToElGrI7mgVDmsG755iFBHpwFAgQnNO0GtF
9XE2k5Mil5sEAK1U6RzVGNXDHs7tedAcSh4NP79zA0Wvt+nU3+tCecfMZsWEoEudpu5CFyJ/ht4G
uOsg6gWc1oV+EgkfVcNsZOpg/vF2qlODWjgXZKGDeEgMhvhx2Hu5irKX0h8++hXvwHTgLs+UiMOY
aO26qSZOLQ5OORhWRJuKSYKaHNpqYdxpVYFJXCXhCBETWphJ9f01Ibp3uo+JJNfmBXiLxr8rmrXW
BRIq2nHdcmjyShEHbTFVxFbzQpsoru6pRqu7XojsEAhQ+rIqhS3m2pyveCjXipnR3MuKZ70vt/kQ
4SWZ3K4himkydkk13Yth7PZYsuyiDO+7VL7DZGHtx2nst4UQ107hp7ATu3iAsSY+MxCEyjGq1VOn
A6gpCxp+iHJp9hHdS6NQeZIXzJUva+Pa7AQLqYj4Kw74n0d/JgNEdhhLooVlsDWXluyK7xdnOcuY
CAZxfmphXRAbsNX04Xqom/XPdwFfRvR/7Pu/vQ99ejr1nEH+sglojZlDcpifsjQ9Nrp8T1W6MrPs
hXJZowmz+AKmdNOPJQlCyaaRQ1glMvO4fE+lOmh+g5EwuQ59UpMr0VXQeXdWS+KS/7nodFjNPALq
bJ50MWDg8fu+7gcbmB9eIY5EhoTBk54CXazvr5CWdUXUWkl+GjJUw9OdGGcERX6NX3kf/yf4XPzg
TawLVQAyT8MCOo8qhCvEkPjie2i6BOVh0vWnMggbcNrqVikoDKKPlifuexyWQv8kYKe5zi3uQUvc
Duag2sVUUqgUhoRxhriDmMIuVKzbnFWpKzBgi4ggVYCVK42DxpJ2eoqEaDf6YCsHmedGz8BFTpY2
32hS+pqARpHSIPLmAYtAI+luiLTOTVrlXajltUbKHtm+FScv1ZJWRUXqI1hDcIpkH02hvq1m+TMB
ka8j3a5uAVCNRnqcZqNH5DYRky0N8VEMoUXOYxeyb8K8EVqxQUZw8OB3UnZXDQQMWVJw0LIlEkgv
2w3kA0T7LHFSickgBqRXivKZmTbmBQT51Pv04IuvHSEi+B6pi8+mwMjVGKTNFKvPqVKHxGziDSpp
AyvYSmeVrcfIY+ag/CucUcg2kCJx+0vjrhP714T4lHdI7J4IMgRyXHiUC7TtSlOtI4UxRCePNxkt
5pNFkKGEUWRfGc3XQ9Xf3g5M1/60aeZ54X7ggVzGZCbab/lCtuErQkFAldaeIDK/KlaTOYCw05Mu
oJ2inr4we4JzyRBc0qHJRLAUqahHrgoKvzAxNnLQHFs4g8MsH7XCfFLUPFw3mVatu06Eq6TJwAyR
TdrgFUymEyqBJyzqDrwkgPy1wH6EQiTiqiJ+pLoNMqLTpLApWA0wwrTMavMSMFA2v9eF/mrJgIh7
CY9KnZE3Jk/snSfybRH04qurVrVGBHk96E+xqTP1lj/pxrhoICkDVgqqZrzzrfiAT29VFcotvBnu
EHA/k3yLy+GYxOEtjbSbzLA8fWqfTHgLNvtG0aWTyl6wYibTDT3BcfQalZgUdB/kDTDOV4F7YlVa
yrOkCE9S2FdITCGMYyoA1S6MhG8XKEFrTxTjLek5rlwYjAp6fFjEfzE+2htYmgcQuizzJRyr9k4Z
ypNljiReTa/Mbt4rpX7NDd2FA3pMEAbQCT4XaKGNXF8PhQp4hyiyKDdWshVdJ6WQbCdzhuc4uXrq
O1nJhobYAM4lPIy9YF0PVfsRGQKDkElcqV28pl/HRK0JHRlgDS2fg94oXqQQh2oyDndRqK2GZYea
dHiCJUBgjEuKoiWHm6yCUIXCVazlRNhnrOLhEBCnmjLMb9Y4mXNrq8K3WhSkqT+siZ5w8zorEeRV
hJUlgkfjej/DUzUsJjSDBOy9ESm6M+zfWCIMFaQsMI1NkLeExlaH3NTY9WJSOqflUMLYMnZqAGoU
uBlcIYPvpoyk1SCi5y1JGm04JaSQ75TMLUhXIH0H6rdrADobzBN6cB3alrrxjf6xFAn1ysSjriHR
HX31EIcDEkLfJzhHBr7baLjSDIJlvaGfnZJ9w6aY2saBQb+pe3YhRrEon5jdgTqTfrG0/eJJvRxA
y6E1kX2bdCcYvli8jzCaVmNPhPBwTuqjxInl5+vRhVLtsjIsZt7v1yMZgDKnCypDUXyWjE/9eANN
IA+eBnXz8zdaiIjfHdy/1iBdZbSP0digpbisjN8p1Yam7auYQeFplsAaI97GuOfLd1oTFNuwELjn
xn6PN0ckn0KUjmZlakTOwROYF1rHwO9dNZLwoYrm9ZgrIGGV7gEXz7kQjduU7RunHnTu8gL0GJ0c
8kHWRi9kVT4KjF9ugg5EiRaGrYe+d69BEmBj4U6SyHDF9728VYxHS7Zuyzl16KTsOqXdRoq8B1m9
1UrrPCTBvmbZNoRkn8g5D5OAOcpcjaX0mJW1G6X+dsDzFKdo/Fste53FSVulQ/BcjVb9KAd+68qN
Evziqv653/LXi3ohNEx0NWeKbo4nc3wJ57fJ/Jr987dLx69+/8XCIQope+QgmU6ReVvGIIeV+1/c
Fj+/K/SL+w/LM/YosLInTb6KAB9wmcRwWv38TS5Ui19ucp2WtM6WVNJoSf/51huNZgAJx18Bdlhu
39shY09yH43GL74N+c/3OPIR7PCGgcOS5hdbU+nijaY4Iod3LuUT25h3FjXnLl37juCSKbx6tHP7
cauv+sPbTbQKH0b3NXWnN57oZvOrIAd56bP9aYN8seBfbAAtJGyMnCgj7bp3xBU52Ledl13jjHOB
MtRryeM6r8nxtMk6dy2n7F31lL///LJ/sfxcforvH/mLuWfqN6kp11z3Jwb2rmHDProy7HNDHojj
PWqrg+5knnXCRb/Jb7XNHSg2b9xQ9+zZKyy7cWidOZYjHLpN7jXn0GYuHzgPZJCdSGzztK21LfbI
BO+z9e3PP/oyovjLBfz+o19cQEFuorQUIu5LG7D3uvlcrss7yUGG5vhO6ERuvs52hXf1fnC7LUSz
cRXvEMDtIGevWHxc3Lqf/NXDzz+V/Ofm518ed335+Xc1FB18Xxs6nyrcWna4mjc4E+9AIicrNC/k
Xdv1arLJWjtVG/mFRpr78/dfbt+/fp9/PEcX1YZSI0yM5caTOBeuMQz7WUggGeJv+vn7LFXlZ+9z
UXXMCAh+P6dkA8Le6od3cdwM+tukuJUIyr1c//zdfvxV//5XXR4mBTililbFHe7QhJPfTRlc///e
4OLMp4xmquvQok6Jtpdj+oCW4fz8HX7xxRhLOfjuviDo1MyNiQetwOmSJetSfpo78xffyq+u00Vx
a6S0iXuyc2DCLOl46Qqx2er/93dc3GAdafRd3hAKOfTjKtLRS4yrObv6+Zv84u4yLqqS7gfCRHOO
1YChmmqht0jbs6J0KwODXTzIpx7+8c/f8offj4buWlq8ntYCkv7++zEZqfll1HYnFZAiCgMlpMnn
/fw9fvj1fPceFw9NGliNUIXqeNLI6hXE6yz7RVfhV29wURLnJBvx6FX9SaRo04xOlPQXl+nL+viz
B//iPg4jhj5+yn3M2cCuVtDbNsmRI8Jqh9zBDc4oXfY/v2oXAejfSurvT/8XJtd3j45E/w+lTcga
9URjOKeqopq2UQK+Sod529tXRPXyA1tzYa/a5rVg37TusqpfPVdXyo5Te2jH5FPbGyIXvF99vB8u
5N9vXS7vnKgeROAM7Uk6Lwu5YDdeqm5zaWUnnuo85vZOtKf9h/jG4ay+n/Y4In9RvQgc/Hk1vvje
e6HRw4rQvlPr9A7D8dmWddvap86NddIPitc5z/Lat3M6tuvagxu2En5RoX/1EYyLdQ9rnqDmQ9me
hD2IG4fOZvxJW0uOse8+j5vSzQ6Gh1XsI3gmUd5LzoETf/7FffLjpff3++TS/ZSQmqxCSUcjtB7X
GAfsaNnVbZPVXb8dt1tIvPZ8Ajz4SIKnk61Lz7iC8uN0brglU+HlP1lKf7sx/3Iw+8uj8sfjrl1c
ElOADcxRuTtVrurpnp4643pezwfySu33YOuvk5W5LTc09Q7jyrh3gY3yFbVesr6NSH0ig8D9coX+
Vb0vVer3Fq/zyqD+Kwng9Jp9/t//Prwm3Ep/YQPwmm8SGln+DfUsgm7JpGMtLt/k7xN7KFsWqnWU
8IqIuYUffdPQWKQIMI5Ajs4PxS/ymm8Te/M3WFj0JFlOEL0s2QP/gA2gXFRADi2LfAchDZ1BEXLX
ZUoaThVJEatcOyd9GuyFIKv823EE1LMhezfxBlWlVWqQ7MKJ3CE2I92qNU7qZTS1SXzM39kk4zgb
RHwvcWqK67Ejth1GDoZ4oLimtoCdYshTCWNWwYq1o7FIrcdUpOMXYC8B/m7N5mctpjPWTyQQ+L46
w8oLg30+Dvs4T9eC2TOrlePupu2brdyP+ks6AtJp4pBhLhDaVCw2Mw7gQQ5uKiknVl0nsreRsSvn
Wb1pZ+lkNdZnAgmuI8U8M63aYqi8hWnvCUXzJARmuc/9Yl+FxHqGarRlGP+UtsHKFMLbTNbugwi2
Ccc+pkOJUqLcC55Rzm0Vs3Rj0X9WrPSVZjmMrZ4k96TtB5I8iQGlgb0opMmVruHXGoW1rwhttpNa
hi2Ynip4sQB6g2OVqa912J5bAoHapfVhtcVqLgZk6365y4zEWGVFu9Es+GFUYDwRoAZn6CEJwFmj
VCTmgNNu9oUnsw6vp0ElJLWNt12QAxEymhkBDwomc+GaSz5tsqHYoJZ8TqbAQxNIR1+p53UwpaRr
luE7CfWcJEpJc3Jp8gjP2rG9ULzMlE95ieJ8aFPOQHX9UPqh6ir1R6dP4kZPdMvFqoP9SdMd4MEf
wthgPLCsc5V2ZHNHGJR7o7oza5NQBXq1BF5dp6Rikj9NYnKPOaAtjZUW5PTUxWB6mXIQToH6yUBJ
uUwvLYKu5mcVtTXBDi+jOF9XeHyx8DwPJazvug0/CH6l0zckBNE08Skzpk3SjJg0VInNXTd8Hk30
DgyicQOVwTqWu/cprNF4asra6JP3CYtJARB6iT+K9Oatxw15QCuLOylbqIUt5IvUGRaWIX8/IQfT
Ajj0tQjYYQ+1k0OuaRB3kFENHIQ8+NkrnxcnyxWfASzakU/aH6iRtSVAvLb9hOkwCrBwM/XieeZh
uJ7M2PASwSS7BkEpOCB5pyixsoIJbSvV4iqISuEcB8g5jFEsXIW7za61iklEIk1AGJVo3GLu12zG
mdHONMfZM3ptAOkTtYxWhsAW+37NfPXdFIMzzHW8ybJ0VLoqpztrXcMhhWeWxqdKL9HFSI9Ijqfb
WhKS51yKoUNX5Noo+KYkvy5dk3BsfDFKAgaZs7tK3BZaeAXZLM+syYbYy2R0IUYOwkgaGEqRFUCw
KAd8Q5iOiQyo3gJL0GFYY/iLX1+Omre6EzyJ+ArafPU21ztlkZLsgKJpOymAgFSUsbRQqusX2YAh
oREt4hKQrdvqonHLQwOEeVaXa4ZcpF+0M711SX6Ks8xfWw3/dqgH08tnRAlJwnSmyIgPaoRY9Hro
qUz8l+/X15ktqf6+skIvHYZTxBMF4KnbxRCTwoG/WhTYhQTFXproomf0rgoLtHE81+iALJqD4TKA
Nzu+IY5LYMfXpK5M6yynE6NFzK6XPAMyIPZm0AXYX0Qv0pJnyNdeJzS3cwKTKU1reCakoeZScmy6
OlhPXUaIu1F7fllu9K75CBQ/dDQWD6cUUh5YcAIyMo3sLmvi9GCF/RXIKqQvKuFMWcGsLiBxDbn0
I6pFUn/Lfeebn8dCloA0ZDvETwhtpdEzdPVrU+XfHYLEOfVnO4Sm+fwDMvHyqm97BFR9lqWjpSV4
lUdt8VX/vkcgEHz53yam3QXTyfb8P3sE+EFsKRgiayKEIfgabB++7RGwzImGzm9ko0Dnk4nfP9gj
4Hj40xmAPYIm8cH4ryyqIsrDi8Nl31mjgIB2OE/IVg03BAkJIGNxNAVTFEI99/ftnCBWmxgvJw9S
JzEb5TActdtypqU/9vqcHBo4DLMbj3I7k0pY5gXHrFzRtfcRby7W2rL2Z7cNakocboPNiNTG+rDE
TGpvp6YBnIOsTvUdf5pny0nLYvHi4HMQZrfSA3lGWJUM4PpnZt0MaLpglNxMDurZVQ0J4vDCiUfz
nkheJyZk0dV9oGr3qUTa4pqEtW0kSxQcyHKQPIGKbkZl6uKPQTFHGKI4B9wgiHHyk3gpbrAaBTvB
N9O3CFixYwXQQeypnHpXSGsdn3HE+hxiOBMzARALVo23fhkoznOmeC3WwJDiHKieNoUf+iAQVp6b
H+x0oJ1lDOKMkp8ROYzyqu8AlRvFsA8DYgjMpagGES497Mtw1moBNa9B40pGjEciEB5YRIaCyMQc
V7Q0ReLGrFX2IT4EcslcLAFzEezKWkiv1CkN8SBKlmeW+efEQM6kpAqzmbBXvaZoI1dsSNxMAoP5
rdalV4kI9KayGPiWqCmyqhpcwKrs4Ezlcwg3fYNcmdsC2CaIYJWcpyIwbFEX3sqEbFB9TrsVq6vp
hXX9YQyMXUqZLZKRsfFzhppsubSVDa8osmZnaWLsyEIYH/nM+O0KvdglTGWjLiY4g+huvBLDdG1Z
vuYNVpExsyV4shgysjVq1bSHjvlcPtd8TFN5SvNEpuzFgV3XqsgwDVxgQYw0o+cenyXYDo+oq+oa
zg5m5WBor42IHck8SRWMqAkGDmaFdD2L1ug2PULQRh1Ld5SMDukkAXX+mCcbKQWoVwFS3Px7sPqq
iaZe/X3Z/KqJXqU/VkTz0m+1E+MwFBRC1chCk76SDX6vnTI/Qi7MtoCitbiDv9VOBfeXCfcYyzEP
vw62+I/aqf9GyI+CBRmGAbyTf1Y71b8qltnj4EGjUmukL6uX9DVDCiRWca04y0St2/ICAZCGaXLH
EVmnPAYSGoZknSrTNs+IxbGtPHzOLGOBu69Nq/XwHZyMrtrGmgD0HCQk4jagPUZxSCOjOHOyephE
9cm0yFsxm2myTaF1+ym502vYviIxhESKIu8oYuN6DJSZh4BsexGBsS4WjqkNIsH14mkOo96BWdjD
7w6Jh9BMIsfElr2GhMKRHTHKHAysCP9nnzwuS9SKTacPGRYz9TROi55mInNStxqkAWNLxlcv3oPU
cYx4cjFKNE5LJP1KFzkJUg7fdf5OcPX83soipJOqUdjiOCxOhvjdiizTnfwC2W0WJnY6hds5V/1t
WmJuABXnFjDdPWyw6V7ThOHgR6EFBBrzh1rH91GFkww4F/MttMfYiVZkH5GiOOM30ru7OqrQ/SXV
vW4E57JaHF7KcFDHqForld/Zfsn5MRfQaAyqWK2smmuaVN2xLGOMb1NBIegR/NXaTsvlB6rXjRVj
DffJLUHQIm0MpULBlESfekk5Bvl8muWsBxrHObqLa06VwsrvCpKQo/IAxjFGvidbsKHBzM1jC4vW
R+xcsM8uCTN1Uhn6dKtfJz4nOAX+jiPPgVtBUVoPQvFeyUAcZLE5yZBP1UrwCvx1WRadpbTbKwqq
ZvpW+6rnnvG75qqKSKM0Ey4NjKjOVRfxN1baJib7D0e0oYVsUqH4w7eMi00ioUEpBa+OhatkLJrj
nLC71uqoXpFXeyPr8tFCRebWE/16NQN/KSccOBX8dnaqwtWLgSvbKTzTJmjuRmsM1zDJjoHqv0xV
T2AHTFHwDLqjteKDWlUvMXxoR0rxK1ctR8gouGZhPUgjgqVgPFWN9anWh9LJ+oZr2OjboIokiEva
oe2ac4Q4SLguKOzz52lMk40BjNhKygdWn2qFg29PWpV6zFHH7eLWei4S8abV6k9mOa1qjj7lHIBc
1p2yGXZWi5VdlPdFGp6iotiNcXPKi/Sqz9EUI5nqvNTvhq3uax+zLnSxHQ8KR4YOgQmxav18K+vz
MajqhoUlGtYBjnCwxzrvy7qe1t5gzM0i994Ms3JVa8+NwHKdddZ9brEPjxEbyORNZa0Ga0NZSN9X
3Sxv/D6iIaB11xQ7FFCtA90IbWfEwMKv/CulaWm3kHKfmO2+6KIbWkgrfwpu55KDjl5zigpHshvk
uuVBIR/BswJJWSOVjNYKAwnEesGmwp2Amzw0XRx+Szggd05ekpacSzLbFMYx5ig8GWr+UdTiJ1oC
yUot0gd6EQdAdgq5DmTRaEuTQ6x9Wh5x+YbclESYJDxGo0mZEMWrrIBL3BEAdsZb9VnB3+SK8/C5
axCZZfp4g/v9/9g7s+W2jTALv8q8AFKNxn45BLiTIiVZkq0blKwF+77j6eeDM0nsrJX73CSpciTK
Itj9L+d8BwNC3j+jp99Uuvg8RRaVQEXzBuMLVCQkEL3Rt2MXPOUjCdsgZDalPW0JUPNEWV+dKD0K
M97MDfZ+o8JoaqEPxHe6K/LJOdAcP9id7/HKyJ8d/ZMqINuSI9h4M9rAdTnG47pS5HnkY3BlbHNn
TM1uTPXIzVPkOFYqCfWlBQX5JSlFFn8qvLQ2afDdR9VLWEEuaCd0QmaarsnW/gic1wgGRNNqdwm/
E+4BchiDHAtlal+zVm5ESOnq94jRSh+1ej8PkUvu6xbjv0WmRkqQWqu8MX5b23aCoN4IDqkR3IQx
Rnok8f1RV1QAEGTi7AxEhWOOkCUjHJHwRNXr7HznjEi0O7sOAISPUHO9xNaOoWObSNGsZ9HM0Z7j
mMpbp6LTx40SVvcy8rfmPIEiDM1uPQK3XXgqr8ilAaIhHasNMif7qmJnQmOJHee+M8YTLJ7YVTSI
+5AojaS8GYoy3ZfqAGtzvBMghZEjTxvDtI5F5ewUTEMYD6ZuM3TyPXE6IMLQZsi0jNdzCvnzv3rq
Z7MnNcxf11Onovmf/82D9/S9+ZN5NV/6Sz2lWrjpDbz0dJ1/dNM7eOyhpEC6BST7Wy+q6T8BmUVw
DB6MSfIylP61F5VY8G2VNtUg7RQ/vflvelEG6d9pA5apty0YWQt0NuhYLbH8+Xf7uti2GN/kTnzT
ZeuZDAE/3OrV03e/mOvPW5TvXWYg8v7kVeBX4cJAsEb1yK/n+1epfD5nxmzEN20RR6lX2CIHo08K
jetrMlnHWgOcnlnhyQrs3O1IfnfT2T/2jHPvRBnephFR5EYYnQYhmEWriuGqNiRqfGaocQJ2QjLb
dz0nYu/syk49cfrdNpM8V3NxHGvtEtXBQcQJRMZ+oTqLytlYS7vmd8hZI+m8qSMAUDNBRR63ycic
qPvgjqm5zU20JzXhKxREfP1okeE9EZxrHgZlRi8ykGTRKg2+GQfVHDH1dOFJm0Plkvqjj7J/a6WG
9iwzcnsVMHDbSCQh2m0gMClXQpUgCFVhKtoEzGL4Iidyj0umha2lIZifmonREVGXOHvsMFy1WqnZ
j7OsTGi6Mt3WCrf1Vi0G+JNuqTLEqNzOyNrJp/ijwLUrqZz5/qXXRNxjC5SzUPKtzfTKMztmvPju
yUW17GinpXpy6LC121der9GejSmwmqOcir5gLKHdFVZtjNdQ5bStgsk5OrVpHQC3Bl9gqOlPvRUS
b59OQKDavNP3NjCDGnuNMcw7mwkHhebQOA9FwZ1l5nq5VjoCXGU5hvg/0JVWAdrAXho92u3OWrf8
zk/EPjYvDYuLcSIYbBptuXKqaK9AUF0jDsAajFPsbu6ZIYopXTuF6txh9VfxjJE+a08OeIgyA8GQ
6F5fsOCsoic7Az3PW9cTQBLNa+5uyWKDOemYjtHBnPHKWIxgt2hlVTd3qMYbzA6YGKpma2r9btBz
eLGjbG5R1qt07Nk5ytNzXzdomOroVi+MvR12CJvMdFdEeeIFmrg2znCPT6d/gCJqf4AuZteSeOYw
mh9F1HlG1niJX6mfhNJtArPF/FUka0fJNonNBHRkEozg/q1p2ndkQ+9TPD3iQPZqrT84mB45QICz
zFt9FOfJ7j3NaXeqIU8zZN6g7r8Ko2MlomzSQaWfx83RTa8kFDEHePVFp3qDmWpMRUhkT4z+i2FG
X9PZ1NdmkzQHpuHBShnmk8zkXgvk2Sw7b+iSLyVvH/cvM1LbWvu9uQmkvevE/GX0m3WQ+XJViQq0
UUCr0+SChotcJXViuGpZV/6Od5iR8AlEc8DuA/uZ3ovoHOom4X2+vG3TvDkjuD4GcuRhJpc2rUak
WT6zBjubjg4fIoEiXOK4GAnPtUuNnqN4UuaWZsu672Rwm1flCRYHWH7nlHX9beiweZHlWgJ/Yvo0
ruQESgm9MvLxuiBWpBY3iZI8F4n6XCbZIWoSKlYcmp16SydC7wA3GYuMocdulVbTcbYsZlsMXfC7
vVYo+zvH8JyaKX84At+Zh4NdzBPWizw/kMP8lk2UcEpILTEFaY6lR0u2lVNusXMod/OkVP+w6UdK
+8eTl5b9GxUdUBj//vHkDSc1ayYzJdSvSuS6T50JTO2UeBkJyac20wbP6gmlLcKMKdT8rpZVc1tV
ifhkzzbBPuN419XxSYy+lzjWkxjbbRWaH6QLBID/EXwHMcHMbKs2xcwznfoR4adk22C2JA+5gphi
2e2O5MivpGl3bhQ3jxKi4ZpGVnNVSP6kabhD5TbjXi1BY7XIxNW4Jluhv6ay2DaZ9Tal2T2I8ENH
qurcpIeqI+KqLE44OJ1tO0wEBU7RTo6h4TY9WUE+iYOhHm8Dbj+vEc2dPnWqW4bmQYQOn2stEODC
VbDB9fiA21EnUYR1mpzkRY/m3K1ME4ZhlJz7cr4Jm3ifDMbWgGXsRWm19/MEm4m9dBM2Hk28oUZQ
ntKAAFsrl5coHY5pl+2416CGl0SNFFOzKeL6ksTpHSBYVjp5n3omZCdSGBie1fU10poeFcaStEK7
rU86CMExenFIqY56HqaRB9RmoZgk1RLgu1XLDEOVCnts8jLNZEig7wbOIa0p3grHOolKYKx2lDcf
C8yqlBUVLWCWJM3UvVIuZ1l7iizzsxTpRgggVkSMfpkyqbqQuRK4OcFFmw3VIyRvyWeP7R0ZwB0J
PdpwBHpQn1Mmg/u/LxJ+lEN9K0RMsM62JZkWoSP6XYnAkmeAk5ORpYsfVYsPNR6Yv3+FRVjzg8RD
Q0rMXh6JNSN8W/2dGkozgWXaThDcpGCyFPMSddEuKu/qgW6zTtHH0Q7F679/TQb6//Cqy9/7uwKr
K5O21DVFOYsJUa6Uy1wnv+dW/My0nGgbCBZuaxs4m7V93+UJoDDS6NIcW5iQUeHm9fy5UKxT1OrC
pVvbpM6gfrVD3fIyET+YJGF4KMqPVqp/Mf1kPKipZnY8TXmx7mYrX9ulgne/hBlt5dO070ZL+1rk
MTkozM7XURS9pjyraEHN0OMEnryWQZbLiuIeC+7M4jR5YBNIElFA8MDUvrFk23EpfWrqemM2Q7OS
RrzTaLdY3FOhpAMIsWnuhFsR6OzVA/EwVjTeyTAHRBb1bqUF5op40SMPPe7TQa6aMtrXurJjzf5p
nOMnXSQHoy1YQC/5eZGvwfRpCRkxO2OfzPGRTbuXTz58tlRgPPATTlnx1BO1QmOXYcwft3mNMc2f
eYIFDrkAUyC7iiLObKYSse3VqX8uad8Cw9qphTm7djDeh0TKrMZS+dS1ZKJoGi6j2Wq34NqAn3bF
ixlU51pkt1VJ5A98ulWjHnqDKNbe0HYWy1qvVNWHfAp3o08SeF93NxiodULKCWas9Xe7Ep3rL1Zj
Q98GpX6yhn+SMX0bfv7dM74U4t89bYNOiSGJcjzHp/wa3Cib6lg9DlucozvzZHP1uK9yWLH0PefP
wz9o/77Z3v744ouF1AQWqjrLB/C7F1fL0M4Tog3PpWes8pN0yw29p3pUnqyNWIuHi+Kenvp1jCzl
hX+kN9NJrA7Rxr8hTeyfpH4/XnwcIHzaNdgZBuhe2qjfC7omMaAZUOPwJhRX4jpXkXiq+59XCX+p
GvvxzPrjazBF//4vPNdZp4QhI62ieg/qnTPd/v3p8ad/BwsNkbXsJRmd//j9s9GcETVUXN7KtXL4
PBjUnD+fUP9tkVWWqn/dvp9f3t7/jA2zfNWvnfvChpHsOlQJ6wVV13dbZPGTgflKR36sSRAB/NEv
SjMLuioNOu8YexLL/n6LbP5kLQozmy+At6L9O6WZ/s3M89vnjS0ymZHYY5gTcH0Ke/khvn/88A9P
DXOv4OI7Ge0soe5tA0Q4Jedda9Onktz3coT/OJMEby2R8HkGArLo8Pqq7/oSGj84BifjAAvaSo8j
QOjV7MSEoPRsm8mcX87rVbvE0NtZ+iiWYHo/cpw1TMhXtSsJlLWRsXYB7tL+i0mqvUq6vQGTcxUF
4bPppJ5C8/DIVS52OdVbkA2+a/lG7/FjF5uu48mOGI8GqvzC0Cz3qohNMzHf7C9xWW/G1v/oh+Zd
Sw2CrdGHrW3C7Fy6rPsiCdm+5PjChkdlSed1zKB3C4OOLlHYJJiK4XULb7J0won5V/HVNuJXuBU3
mSFMhr38FbuaVMmmVK9KqgG2CM5FOR9jUtK3cW0QcRvJqxHHV5Fr44oIvwXh0I6Em+n21tTLHj/h
8Oo3MTQGtYuAA9hsMkID7JSIP/X9dAU5xYpBwMVutNQ6EeFy32T4SjP1tsmHehOnOuseZz6GqXMI
2/FYFqFwLcxVK73t94GKczso0LwA7iiIgzFITY8a23NCMT80ScEMEqLFugMVg8ys1Q4AsuONk4xv
rNvBVPQha4lcoD3KYnurDbayJgzuZFbqvtKJeZs637+dlJy0lIrAxyngNnXSjIAGJTLdvMvD28Jk
A7KEf0QWRWz1PImSePpAW9QFIc1pYBGDXuobcmerPfzVCb8wtNegIvHEytlVBNlr64RovS36NpiB
2TrNuRzHzH9OLQb+QV2eI+z1Ht90IvQ+AsSSj56Y+3XkqyzecrM5SFnd0fiFnoVU0YtHgweyA1Mm
Gl3b1SBf3KCbX+GzsONpOspzsKirmGh2tyOabxfFEqX1ZJ8RszmePZrvddmzZXHUm3xgdK+1PMr0
dKMX9FG6KQPmUqpi3hOk9txbyZLNyXynsa101zYjuSrBcK9MfrP36fpYQ+XEXUI8Q4+JRq3reYwd
6+oLxIGVnuo7wou/OLH8SreztRQYxXJszkqGRTNQbIJThtybw+rr5OgTbz7YES9vHPMWXWKrH9SZ
mRoFukHHOtZTxsrqnfXd0xjwmZeJDR8DzziC0nEzaa12tYbsy5CXeL1sVjl+03aUG9PjSL9NZ4Tw
CeYHVEgn8fAhT26SFCQFd8N2SGGzRSwIfbZRK+L8zGNNJtuqskOWb0b+aS78S22yYRudxuuK/CNq
mWdr4T6X9rG3gRy08XEm7E3SOIcKNJSY1VUxIRLQU8ZBWa3ficLsPZXvu6lG9WhrTH1oBvek/Egc
XvzgTrBrBv2I4OLDbK1Nk2AhKSx9XRAmeCiU6UUuRR4IZ2NVje1A5E9vHqAabewxGP3OZSvRPuVB
1RebMSxJsw2VurjXcMU/0soOTCYkYB5TNH290yLbeA6Swji0TZkG1zRIA3vfVor+7Aem9M+xgVw3
c5LW6xz/SWUysTZG+L7g09O1z/Oy0wtcsEOMGG3guVsbJU3/Qgnq9A7OEqISxoS7EBIyhnFEYkMU
kF5Z+Lf2PF/GvGsx48wz6ZjZNcUV+tARRrDOyojjKUkl+rv4I6it25q98k4ZjM0UNeWO3K3UtRb8
tdMyT+gfK6OYN3yKt7ZfP84O7IZKzFdHj45dgme2LMWLuoC2inwAdprdqYOaui0hu8tqKuJZ8y9T
IqQ7teSLKSRSwO0Y1GSfFzSKjZa/WEUfrjXZ1S5euVOUxF+lPXAajF9HS27yairBQIPu0XU+hymC
GUy9n8R4ypkbZsnORuCZz+zyoq3S25dANaJNP8UfphaSqNHSULPysdJorVKwkV6F0x98M1rMbLjP
Zm0EcsXpV2dZsMk1+EcTPOtVTGpkW4zYJ/Rsq/VCdbMBHYk0q7soNlAz1dbJL6tr0YjIhbLKtBll
axXKGx1KkGcEyga7OplYVv5IDu+1yKobxfRztxDmU2z3r/FghtthTI9DOUJJGtujTzaXUeFGLqPL
ZADOlq15KH1yDru43ERAP8rGfmaaH201AR3fVAooRii2c+CgLgiCVT6xQ2I0ZTns9dj+vZs9KY7D
zGGrsWGMMzZWSJNN/sdxU5v1QW9t4E4RG/uotvZExXE+o4lOelA0SnRP3PxL1cH+QWWTEGbeF8pj
ovFWC1La665oOW76TaYG77Hj7IyhgHPDn/ql/dH28VvZqMdMhttvZdR/9eTSa/1dPUkO3J8sgvii
X8rJb8YFnPoMOVgHfVPP/CqswbgA4U+aBik3Cxf0t3LS/kmDoqShOhR4oMVid/hFlGj9tEQQ6myI
mGiAv1H/zSIIFwLl4g/l5IIzdEwdYSI/Bd/wx3KSwADo5oqYLzD3HiuNeidlVLGgRJgfzNnGrsyt
ykNkTApDCueRUCeUzx3JYZljfopt/awV7T6L4zUBVX7jWVaGXDtiuvqQFg7wZSluAyWv9y0HIVRy
sFlfJRpZNIKq1odHEBDZCNZO+Gx5od/BYYvWWRd3twL9swdJ6H5Ill69ny6OAZkZboFXhnPCXVB8
miblkUSqB42SaCVI+3VFTX2hTJcwsg8qiX5T2LzWs8YGNR9WQSzuylheORYeZd/kXtjyyfLbZepX
E0no5x8Tup5VCE7D19Fvy5ppCZvgC1DElyqlWDBAJnjkfbyB75q9VjDCdkZ7HYh2cKnk1E0CKxtU
sKJP+2FEA4JS/Kh21oWIcbdTQZ13livU0ELpHjIjl/2x7sunUDhfFB00m51qt0nRrMEfPCYRJOA6
nh/aGkpYp5Y3qk+sdll8SKEyaojunG6pSLXsVAbZXs2mx6TpjkrRf4iaklQoE2ISXJmI3ZFBK0rS
rjQkHVWjEIkXmq4ywbv3JRMKgzb+ItFeotSrGEe1QIjCYnBbB9xKEbN0ydBbruG8zG4OrwEJkvUK
+e6Qa5gbWh8WRDOyObElJ5a267r64qcEmWjMlkBf11WJJtTssm1rwC9aGWm219rabRqDHF+YN1pB
HnGYky4s/K8JXMYkHRVCFCj88vElMEEX8j3dgrR3r1giC0Nk6qGmvAjUSS5EEc7WhOEy9hRCbewz
a1dYe6LpNrILzVM6aKTu5fU9iEn9RrYZcnMZsF2ynNib624X9uNMdF6qcw1ZHhQsdcustoV8VZk3
HYtIS9H3kH4eWdDuRCcfhx7tAWAo4bWNVJllyPiEGJfyDib1OjSw1/l9rKzg7esu4QL+dlJVcVOO
mrwlJJL6NOm3jg6TZQgOWdL4aD7kC2MNA2PDFF1I6hiIVNA3k42uq0WxhA41dY0h/zo18GP66HMR
KEDPicULQt7POJ3Si66TiDhmP5/ufznx+N1EwhDoldHdMYsAOrxsoX88I0pt7JNUcdRLmj0k+pth
eP84CP6Tl4CvZOLx4owULC9+fImpDMYmjqDQJc3XLrlO5afc+dl6+98dtUyf//6OKovm5Y/X1PJ1
v1xTaOe1xSeHOB5UNaz9H6YepJRpP19fAK5+u6Wsn2BGq4hG/5/xz3Px2y3FqIMrjb2/rlvLqORf
SOe1RRPx4y3F2I3hHlMZdETLE/Lj4xFDoZTWLMNLJjCTnEPZGs+jKohvNuo8D64FlfJh7irz2Qz1
gaGckuOgGkZl+FLPVvPohHpx7ziRMQM36oZio+VW+9RoHQDFRbmzNsMY/06kPBK3wdo9mHUQhKiy
5GhebcjsYAovXU9QWzq9QCd5kaGv80m7Mxs7W8Nz38oUuaCc6NvVxFyPPRm5Sn1guoxmjLhqtox9
4wZiekkqYJHVgF2KZWXDOJlw7om1m+uY9ibNexBYuQXJqQMFFdRomAYCQzPzTu/BbUWm6iUa2zEf
BBAqJM/puZfy6r7U5DMqSG1V+NwVeR7DEpPzvLUjJ3PZ5bMh04272LROvd18luANEjNPT0SBHrsw
oV30pe3pjUXyQR3gvBpKG8plctdX5UOlz+VZq3tIYznFer0Y4GqCdFeDvnimUuxprcZCf8yD9JQj
I5+t8rNmVj2sIQG7StTvc1NPOJRGdFdNt4OBsBVOtlPpskrLimlkHFfXEXoxRNtQwuIri/kdVL46
uEFvG7so57/0fuwgZBWPeZi8UU7f2mS62GX6qibhJ7NoEUq0sX7yDX+Pt+s2KhkQ9QbcPfyVIF+B
7AcLlrtIgdGa5ie9Jm2LXcCbWeTHGalDOdmsmoVN55Jb1oppQbwqgvGYg8hqxYAmsci3aQSkTOrd
7Lak7WD2eozNhs0eaTwbOq41gLz7HGKjqwxUAaGwN3pl9TfdMsyBjWC3q1rft4mZPSJJGL066WCb
cpch9rvJCflZVYpgLjV1D/UUf/X7gRl+WHcrspY2Vm0/mdL+bPmBKylI0gzN4rj8GKK/Iz9oU/nz
JU0ienq5cfwrD2txo/fdKXWS6zyZz5HJ/CCHpLypEequdNrcvSDFpjV57FQjPhUSMfMiJw4V+0mx
mKSR1xy5ajz6rlIvcbPJjVFmF82pj6RYX/uGWUa7GA8DS9+gVnvWIbGGhnzI2jQgQsY6lL15maJB
4/6nNHFYO/cVxaPffLJj66upjOfa7N6ln31qWmuvWuYp7hN1L0ILAnvqNHDKeB9wBLyl6sBHbMYO
YY8pRq3cvPCXN1ftEH6uapyyqsgu0levrFo2lZN8VRTftQtHrKwQP1emZdclVJLWjLIza/On0GS8
zrUpQT3k6VEhCBQo9VStfHzGLsLXF/wVybqd0lu18T+nSjG5aN7xy7B6dez5lObtuVMh1Hb6l8HM
XqgmDyRcufYgb2MCf1Lf2Ydle2lSsdU1faeVZNuRmnPuqO1XuW7nmynJPV0uCSAqvlcjhOrcasdI
rfPbhiDj5jD26iIqyHtgqvCdHadC5RHbT12G7jEoMrjWFRv2TZUKuFwNP32QF4VXjrq8jpN+YJeg
3oR8sFzec4P8TCoTo695c1prfJqrPLirVTU9xnpsbFt+BeshVdKdiq9wVSIuQjjb+IFY9WYb7lpF
w4nDVg9EZSnUjRIjs/6vlfzZqcH1+NfX9H2RvuR/EtGj81W/XNKYNBYiLE4LmKc42ukKf+0l5U+6
MFk9YMf4//3DL6sJ+6flfyV5Fkmhhj6Kq/2XW9r+idbSEmhEdGktNPx/c0urNt/px1uaHciSWMF2
hCwLS/yuTtTtLK71Tk4XG//ZFctCdheppfWZE1cepiFBbqAy4LPbXpzRJvvoc/uQ4Ug/P1rO0N6H
oki386xGR/LH/LWltFg2oypcs0S9SdPQOfea6p8MA+uoxppg1TOC1L1ubhdeZjnuFNs5jHJm9N4C
CQZPmrxGjGS3JNX6i+Wb26psxucsDINDUZH9piPl8CRRyQx6bdJy6+nRkZUbptrL5GfWoSP0c9NS
XRzzpHDwYg2QBFvHdzHeXxKtg6IVJQlXN9VGSLAMMZvQIx1amxVZFC203Dh+Lyd10G/bPPOqeQ4+
EC5/CcfAxwKCFWuR0RfwwknTTfZydmi5qKeugRp8Fsl0iDqt3uhlfmsUMHYj0Srb1gzmwxx02iEM
hbVOsW8QQNTs0Qo4Hst4fZukub7upfRBtfb2KjICEPNZOZDh09/ONUk7ZdqkDMyNeaUYBgYDuyA1
z7mJNRCm/cRvR2HHeRcNdOBZpKqXpqE8mCwC6KuwOXQyfq5Ka1xlaZtjIDbjNcDZQ8gCoHX9njdM
GdTaS5VEbHxT3cU6tj6lJvje6LdZSzw7UoHypS+C+Dy2+ruSFMKrBDckaxrbI6DTRWp0b2roly0M
2sk4bmWfPkpC0ZyT7rRECMr00lfqtZD2owgaCwguymvsLPgiUcVV0Hnxy62QcUJT7/XgTKdZooXI
jo2mvhvGEvNjDvd9iMiywe/nJoI6LMvExQqcXZ4V214zTvHonMtBbEO1k6ioA9pe37wSBbeZg+iS
zTjBzTbbODoK0tmYzgaSSxZwD2wBU28e9SPkev6k858zWX/VBrVijWO/4kQke3R64I5Ce+CX8EXK
hj1ezlLjpkoQ0NO1m90r4Va1i76rDjd+MZ4cRvx8KrIoOakmQYPQWNPiUDokkFhqPZ6YX0f7/w7j
b4ex5Oz868P4/J6/Fa/Rn53Hyxf+eh5L9NoqRGCSQqi7fjiP9WWLTCoNHENa2kXY9IvhWJDeKaEc
OvTyRIUsKJHfzmN6KU0Ii/GE8W/OYsPku3x3FqN8EIZGxAnzO8aLJI3/Tvdkgd2w8e0qF1VJ3a6l
hBX6/O4PyHUTIzVXnSY2SDPxrQSk+pGNWd85dabcSqtXNOYiRW7dBaybbDAZk+Z1jVo/sV2ypldD
oYg1Q8Ip5OLwj6vF9S/tGRPSwH/RyG0tW9Rk5Az2lmigcd2XirOpQQfkZSJegwqaQCXBihcLYWDo
YB30C3WAsMdxrS0kAlDy9TNOMegEC6dgJqD7MOTWIY5rDQdQvTdCBogNeINOdl9xslCeLOQDpkN4
epfJD1CEaaEjZJaxplrrb+yFnJDVcbDGZYjnYsIINi2EhTpB1EPU+EqbnGRt0zWt5EJkmFFJ4jNs
rnGTU7xOLZDeheCgqk+RDr+/AdsXVUHoMV695azPVzBgzpOgj7SpUwe25Q2mJdNmXqq3KYaxhR5h
LRyJlsDhQ459hqofygT7LrFuvqEnaro3qlt4FH2J7Jm3RbnoC63CAFsRt8RqtJF+qHSIFklfjLcz
NfQ2B8t5OwK+AHEf7pyFheF/w2Ik8xxtqMdhsrhankKWWQAa9YLSmL9RNcaRuBJWnLA24pCAJGyT
pX8PJrzc9vFib+TBzvd53XNsN1AwfFOxz5FO5t2KS/CcmHxxflarzr9Vu/BLGhrGKszNl6BGqjg0
rLMYZX9J1DZY+235Qc+Xua0SnFI/zLgap0vKetQNp+wjnA0PjVh7IfdmcjOyezAh2tysOQhfpTf3
dV9ZB4xaqtvH030YLwStLNvqIf9wavZzowGsT58G6axg9Q/8AK3slrDZfpD6uTdK5TBpFuwT7NlX
w2jYe9XsFQWRCobmSgJVvDJO2xN5TIgEeNAueJTNTV0Z1dHUqaiVglO7RrmGyrXbkkf4vIwKiXZQ
CVIZm8MwYsdK+0DdGLpv30D12SiZ8ybJxzTj7Lbougdf0c5NaSFylEp5M4HG3EuzXvb9804xGLni
VUvB2fs+/qT3VhmPUYoaVLdOU0j5YcXhthrhVLP74+98saccLDshQb1yNNTolIVsjqLO8M+5zTI4
M0tt04XBfTiNARd3uq9jWHAVb5Id0pgNuNiUmDQUNsovAaGcq9aMLmNf9AzZ6YyUts9cUqIBmqd7
pzXWNtHFWY0vHKk0yI0P04o4WrINI5ZNmVSu6JlMBpIZO+PKsIz3Vq8fHUqmQW0RPbaIAlmuPdjU
TnTQD2YvbEyhTmGiZXHMg2/PHzhJ74y521ud7WlZtjbbUSONcDwaSuLGff8SmtrWrHu8kCjMY8O+
NmR62IV8cxI+w1mqvbfOdKcrI1jUqjxP1UxQnu6WvMeoWQHpIAFGtouTUVAZ+NkrzvRPw/I8qkm8
JzPjOhfjJVuSeWMIYGOBAbLAZMbLpwZAwHy8marJlQi8c7/zFJtucFa2dO47qnY3K+Od2eD7MhZh
tIxeTRtAv1LuFNg2SUg6TVlc8lLY61wUW6B5yFC74CpbUCt9sBspf7JCOSEk2WAoZNEnMcGObsVH
BOaF65PNxGrI9dv0vU7fC7IXRlwjsS12EwKXaMg/G0gJmpnMRJ3XYMSu+/KCeOW+ac0NMyS2oOOd
Pjqf0ngm7SgFtVJQ4WRkrjq+wxPoK1jxBKbp7GNChMYJt0Fp4zah7Zk2EKCgCffM/Hdk/XwWaku/
a9+bZvnZDpu7oJ9uu+wtn8r3SggsHqO6srRoQ/76pvEnLwn0dSgmN9DCW1IAzkWv3dH5f6hKu5K1
WImBsYsQO8Xpd3ajYOdL72OjOLVECzNnghfuNCvTKJfohWMjug0fxZvGsTeq1hw0H0f3WK1J4aFI
zxuvqEgcYpr4OnTFZ74V0iJKpanRKQRJn/WscHCnfHhp8obFhXIk1H0/Kxb+HMDofZ1sQgLVV2Hp
Y18OJxYQprWVbf+UdflzC6BqKq09HRGoB0BRRVvvoK3vxZgxJzMcBO3956EWT0Ud3xWKyqZ8pPXv
+N05a5hzO6s1eDot4un6W0yxxxIReq909/jRd/boX3xt3ud6duh99RwWCEjzLtpk6XQl852lM3kl
g30b185JU8cvJei6qWaPIx37wa/N26ZuLnlj3IFbEuT1NvcdU/u+ROpRzwzRjPSE75G4yEqsBjRQ
9XJQzcXnKWmPkqTtsiStgo1WrAGRHJYmNGcVnj/U5XRQJRm/Ug8vis+uBnRJet+AcnBn2R5qxETz
QO4xODJFid9QlDzEbca2GiX9yrHaLzo+HUlCXlyA3YrUNzNjR9JWn5M63AupXjhvQWYsaUpDczTm
RYWbWok7C/VLaDTlxtGST1ndkps6JttEU680LzGjRfZLhJJtcLvt/MR0B6lk64jArB6TmRUMgatO
0ktShPthfkUYs439kbjh6e3/2DuP7riNaFv/lzeHF3IYvEmjIzuwmcMEi5QoZKCQw69/X1FXtkTL
1tJ9Uw+9aApEN1B16py9vy0UTElN8tISBCtjBHkDOBslvbPqunBVR0rhI99h1N75ecYmATFt2yvu
ZxJA1iSPbsLeWcfquGL2w/rToKQIx3k95sV+anEgt9Yt+jT2mlb4RUOzLE59JRqUiwIjsFDRBhCT
U2vlLlPa40y/uqnFJ5wGeCwaj/TA8dibDL5yle3vu5L2/HXG+71B7+8jFwvRrm6jVZKy3Y9a2Xao
67qLC+VSzRFLpYsyvVYQHfz7RaSA/6/x8tcyVALDNdWALWXoH1oC6PxUG6mlcjkSQIXgqHsasfFy
qoTA8u9X+lnB+/2V5F/ynQ65DMpJmwOupLunyKR35Wired6V9n3SPcel7f/75X766fE2YW2kM8cQ
/8fL6ein3CArw3OvPLfdvgo/Fdmnf7/Ez+6IaplimcsYhHP+eImARA7Vm0R07k1Yc5sO3EUWMYgN
NzEzar09/fvlfnJHcDU4tDDlY8RifzgxSM2dPqltfCbwdEGcxaILNyL9xT19EE/LY8kPF/lgjGgC
pbXsgIskjDba+pB40fL/7zbkbX73HPTtTD8aNNwZjSGYAz8tb3GV/+IiP3a63h/rH27jw1cj0ikV
fd7E51EBB2BhVz+bccMC92QxaWku9a75xRV/9u2gdYV2B2fSwjj8422lsZvHRaLFZ6e6olXi4wV3
gi+//9FBwiJwntgjAFofPrrAMhTb7evkTIrNKrehzZX+kN39+0V+9tEZyNsZ5WmGQ/zkjzdSDpHj
xPGY8P08FfYh4qSYsBh4wU3S7U3Eh0Nw9e9XlM/UhzWIJe6vK374sjDbYM7TJjS9SArIXQUV+ovF
4ANz2UKnY2mOibmS6aTN+/ph8WlKE0zVqOXn5IDSZcfmeQQHubKuomvLL1YwaH7J8/3ZA/H9XX24
JGrtfIS8lJx7GzcOgyDdY1Eot/+bz46pq8rOCRzow7dlzzSjWyxH56DyfB35ptv+4rOTn/7Hbwet
PU+bhwIAWcOPz4MgWxhFu5KcHY6+k6tTbT7HJrleSfKLe/nZJ/b9lT4scChRypr5UnLWrLfIvbKC
m2r+xfL280vQ/NY83P3A4368mVhLe9ecw/RcFJcWNpgx1hd6Z/9iq/vZK8TD9udVPnz1ad1H7RRy
lTj9lCm4DpVVbZKw1/lpe1bSTWb94jv6223pqklbHwAvWxEisQ/jd1LIHZE7kFvaflPVz4O9qubr
33zQPlyCNtv3y3bRh3ygUZWdh7lYaEq4nAAB/W8uIf0ZABA8+mw/XiIZx1zJOGmdm+yTMu+Y2P7i
An97lLkHpBAoZSwab5iQfrwAS6czaAVwF+q8vMNkkexifPOF9/Z+I/8pWUw+sX/uyt60L0XcgABu
/q5lkb/5Z1tW/UMyHhE04Lix+aq/G5NpEMtsR2e9Niz5Bv3ZljWYhUlbDdxBB6fO+4++tWWdPxiQ
OfhpDc/2flvMYvz4+koHj+qq/Am4UdF3krX042OiuIqR1mNWXnaTnc7HRBcwMjRTTfRV2+bZ2Ymr
vuWwYTFqr87ArT6ZYTSsaj2/7TUAX7mWHyq9fmK6f5E1xXWcx8Ao9JKgteDoWtYR8XLqF86wCY0+
XOJ3YZcdHuakePNiWndlrzeDjwD6ygrnNQJsBI/E6XWk1C3pyyARbJNjSzYT9Am8nEZfaK86Y98R
W0+2JhvZZTwP6zG+0FO7hX2sKZxh1N6zKU6FkZChgoYBAwuRnE7s5JvK8S7sjKDRWyNoIfwE+ZB0
TLLDyDzUSdw8JUNQLDt0jDoyxz5BW9ElewcKB0QQz2pom9aWsoQ5WyfbtHB6WJV1qFarnFoJg8kw
vnZ2TnMpKx4cYXV+Gw0bF5n1Bln9iwjKYOkM1XiVuNmwZmh3ZChY0fJrOYFFMWsZbvbIMzAc9He6
Gtwr9bxrHeW6d3K/6Icd2cHLXmkP42Bder0NHE7Yfp3p11MTvwilxPvtKIuy7Y6EpkH/pd1Dgw2S
pqdd952yszV9VQTVyQ3FF91AXaMMWy1uL5AMbMOgOoQeIZz6eOrK+lWdmmsvyrZ6Yt+lXo+WggMt
bi876klUyMRNJmY852gLIN0OVnNdt3TKxmGX2OZD7tgLVvAXz20IZx06380NfZV4XwqtXJmZfcIU
sRqAR5piphPaHIO4OSMCeaqbeSlbbkLRViRVnuYyp7s4LYihPNFe3jaj/jAP5bGnX2XmxYnv0hfJ
sPai6JQE5akxvP1sWAgV24vESjbCVp9xCK9hlx6F0b6GJYd0+dWHjofwRsNco21cezxofdMuOk89
dXoEryw51bZ+VU1MQWflzoqMXZbIb5hUSNAMu0ZzFwTbUCxWb57Z+H2RPdDKuSvV6LqNlHUgrINh
umg+85Oa9BmMAu0wmONrzx9BLxnxVKEdgh4gtgPXLmoPoYOIIR73wxjtyiavFu5Uv9WOToLbeF1P
uP6DsLeuHKvexPYQnezAPE6Wnl/W+L12eZpVYEH10tAEc1Pa9GN1yYH3MGg8Uh2Qz6wHslZJ3JqA
uzbBX6NBtDRz4+DAZRsloG1EKNJnmbMkQfC5hfGh1MDchAg2o8S7KUbwPNfZcZDgNzfvblNIcIZi
OItUwuFIwoxpXUpgXE7TXIkIXxe9Uqz0SDvizrg2JWgOCxbkAwmfg/99TqDRNbjQqB7LrYhSBQwV
KizsOccWhh2kN9+CaQe5pVvxdPBt6Yy1va45g+EGZAYLDykKaSJTs5eyN3IpDwbUPA16Xm5XJyFx
ekOVfxImgD2cyUt9oCOcSPhe3NpXVubuSonlqyWgr5CovkBC+5Skw4oBlkyPUPMkkP0IgQbxB+sv
18vHlk7GAkx+7yv5fOrgAo7wAW0JClRcuG6CTOAxxrlUJP21DVWwpamsWAQsKl22zpj2+Go8HAFg
ThC2WQEoB4TvSVChLpGFjGyqddJNh1LiDG0jvgS9cNfbne1H0Xgb2hbPOxn3BSzE3k0ROPPRkGFP
bDoAB0+CEz2JUDQtYIqzxCpGFlyT//b+rxNZ9uJ/3vuPb/Wnt89/3/dlysl3+z6AOQTYEE/IGJGQ
Z9mZ/L//R+F48Qcbrm0S4PoNVPpNHgOoiy4Yll2PqOWveNNv+z7OXYTPDrpTAzEbIRO/M5KliGBf
/+uk8+7cdWy6RYBM6ReZHxtuhqIzB6nS9FJTzbaGjhgL1Y/73FRw46WOfHeQVfpdlVRXmpMuO/BW
uM23JKOoQbIppGVTjp9a956JjliIuL+lcKn3KsVE9BhIF5fdgv2faFr5+bvFS0ZIw1veCt0CdoER
rEyny1HJenoV+ktAEevDG94LzGOFPQJtwE42YisT0l/WueM9VtvPtnCuhVHyDxiz2IajxS7tlluz
8a5a7Gp9WeurPMmZH2l42cTQpncB9jbFNNjJ1Qk0z6hduljghhztiS1dcaH0x421u+1tAV44HbaB
rT+Z0ks3lDA1KQIy8tjIkaWRkGyFkQN6qh0XNWCAXa6KHjsomsvCEukmlAvILOVohhSmde8atUHK
1VD70/6u3lVsuhS0jVLahmxGrFIpd2uk8I3YjvDakWI4W8riSimQa6RULpaiuVBDPjeho6ukoC6S
0rpCiuzsCkpELYV30bsGj7cfLi26vEAK9Aop1SMTAeiKlO9hcUDJl0hRXyDlfa6oqZhyb2pC/oai
ii9MR7G1nZcyVV7rgxThOKn2qlUG8iYqMadKkmPUI/kIXAzYGCYiQgQWRM2uVSu/MoHpD/44laRr
1Okbbu+HiqqvVLEB59SBGS4/36EyrD3l2MhSMaJmtER2PUbFhaCW1JX0kAzQwiqqTEOWm62sO6k/
9dA5FfmIbzFqnRRv9BTrK8PoDYIhrCiZj0jPioWaDqtUcmUNsw+YaEe7Lg8oGSV9drR1d5XP4af5
nUyrErOHaCVfl1JoakmCLVkon5g6wzmEAuIj4WmWRjSuOgm+zae7UJJwp7awmJH1iT9JTi7xJqdW
knNdydDFTRljgAsxuvJ/Ss5uxJjFoXmKsEe64y2PKB/J5Z0koVcF1etIZm9a4yqeBMArVW33djz2
PhNYnSTSRlmouf5sjxqb01TeDM7IAGMa6MkXjbOoUO54eElB+JoeTnPnLQ/Cz1mJjpu3y2cbZ7+l
qdFZ2I6mnkG4iu+nayaSdTUmvgwrvLXLo69qZrgs1LolscVqaeMoDIPxuIImTi+Kpi1v/9s/vsor
aVr88/5xA7WL/k739x1EOt7+3EE4HkJcQFLFXqHj2ftuBzH+4CQJUk2m/MgY8D9PjqaOoMeDxmBz
lLPx0NG6+J8dxFRJJKAX5NIWVCVX2/mdHQRt7ccdxERl5NC5QDdk86eww33fJMGsQCp9jXN1rFVn
XfTmAKjJhLFuDlsoByQKThNmZHVQL7kJda/CfmLBjZ10R6ZQ+Ui8RnOkfylxC0ZFw9U2t9bYNach
DcRn0Qb5xsn6+BBlDiEsUFBjX3gK2u1cU8ZzU+ftJQuR+aSowOq0gA4IUfcaUrciKE5pKLzPJP1c
gw22cPxqyoXOQrKZXTu/a93JekIvUd8MOli6tomcHeHcYBOdjiVPs6by3ujUFk9Xo7/h5sseLTUr
tqHVYBoUQfPS06NkeOzGHAa9YeMkQ411oRdXQ1Kssg6vVhiHYtkPmtlfMrUz+09lwwlzr8ETxFrb
lmm30WbOtW9kwEhEjCnzdKqgKepLJxKc20jsiJCWeNIr39HDmVvQtsPJ9ZSSc1VoRqO5LrPBdVhQ
ejEoSwt5EmJVpWBribtsek16vcpXOu+2VwXjk43B/mVSHIu0nJGgEACw1sXU2dNNO5Tzi2SdwxTX
Y5WwbhaUOCRGIBB9+MqTFENxmOeXoInmNxamxxpOXBHGF4oDXzfX7N4frBpdgRhCIvW0btqkE0Ps
EKnFIS1HaDwtUIgF42gFDs4QxusmByS5gGJN6ZBWD6YTZ7vM0+6MtIoA2lVINKTLwXLrdmsnjX3j
RiLftUrr3QkVG9zoVSrhCFJQj8iSsUqj5m8NdLlXxWGgSduA6f2YXyauBqSw7cdNryjNiJ68Yqse
g1h8cciJ2qH8La4R1jY7S53t53DWnOXsOcndGKREziNEZ4+qkictcJg/zM50aNK5fJq7Udnz8Ia+
4UhXe1gHj+6cD3cFIK9VV47xDSc5cY76rAbhaKAtK0yTUzPTaY2CwovaVTNaDWzEaXD8EJfGVu/1
N8/G2ZEZF844GFeTXSMjAVmgvQnAIOsqRiDkiUa6DFjt/1uLv9byLFz/vBYf4dF9+vtCLGMbvy3E
71EuLuNVWSYjouRH35XyuKmh6urmVwHlXwuxxmrrAJEjIYAVWjrVvq3DMuSFFh6OapZwEgl+yzQt
F/QfC3lTFvEs9ZrOv/UVfPvdiLEqKzz6URKdqw4F0rZ6D0yxnEuNJA5Kj/A9TSX9Gq3SCQIvoMrI
zBVQ1m29dt+zWIb3XJbBbbakjxjBC+2NhIR2tM8Kh2uzCS40RG7aKpwVJTybaRHT4KrMCBI3YuSR
2cJszVnsZ40Ht5+OkGNA5JlsiB9UmB7Cqnrq4EongPqjrfO+nmWkHyyMkWbatgprLyHVrWF7qIas
vgzfV8PO4NVYhewVkE1cGyKLXC8tXKab/x79r48+w5h/fvRPb/3L55efPPv81rdnX5cCYY6kyIZR
efN4/fDs65Cbmc8jG6YjzQnz2zGWqEMd5BkHTPIO5a//+fAbAK1U6/3USYTRbwqLMZN8fPgdxJcy
pJ0TMRf8GMMLqFEYVhBPl3FxNian9fVgGhaYIu7GGcqcOgGe9PTi4M7ZtTuZr5PIFN9RZg3PNpk2
4EzwY7XeRZN6l4ZqlNTL9ispP8es8+7nubozhuIL0pt1pdgCf7PzlAl2LLexZeTHvFH1/IDSB41R
0HuLdDZOg1ohNQO6t6js9N7maLk2SmLHNIRbmCAAmurWY5o59+E0vxI3RLR46m2HqrtL4/Zce+Yp
dgMNR6J7Q1YyrOIxPAV9e1EOvcC30Ow1l8bUiDk9H0vueV4m0Iwrt9t1brRmZBAgRCzWRaQ8dCL2
UUoumDOcMkihswmRGDNhsOLUgB5l6JYJCRmVi6rZwO9IMfm59OLLJtVsEomq6WZWck45AVZ20fhz
NeIMTAw48bCnMHYpCXhg6ymfwbraQ+Bw3lGzC6eMvWU1aM1SGekaOmWydId+mdEOWXqTKck/88LQ
uhsb9eFqrq17SflJ/TCuzRvP6cIWepJVolIa7aaZ77RhIIQEtXMFtrdqVbKpEkQVBJSEiUyLCjNz
GZRzTi0RH1yb7Llm2qjZuJ2H3l51SDMXBOttRtXs/feYygD9numwdCHsfROEV2Zq4y2QajzPJnUP
whPiXYPuri2K5xhlY2ChcWbSYZlUC10HzBvYlZ0UW2gSyipKhbUAeXj0VIAs6QSAP1IfJtO+yAWJ
Abk1vVSaVd2ZOYrE3LzWcEgOYtixbG7GJAm2sRUYBD4EW3QO8H8rYz8RaLXwFAR9k0IFPefuvdKj
dLUrZT14Ovp4fDQSpu0Gw272qNrwG5GTFxY4cGU7sBKbOI6cherQSNEDpgyowxSmv2is7ucse8gs
/Utp8JkFSfWouiWU6/QOoeFTmNfnMUpjfEUuw435samJtFHLaBuMCb4W4FnF2F7kBD34ejI/9khp
C616aScqYUvfe0m81GLxZMdEWQQGdEmsLBWhVtltZ9Z3UWP1C9GZDX9aukfrvhIzzerWeapoVCzq
zj7WtHdmbEOqAfAIKfNGnZBgd92z5YbXsDrWjlZcIu+6HIXq8Y7N+gFYDp5huziQr0doSrhOi88p
XYmuB43bDMGmjAeJFTO1JUaXcwzVwFVpiXsgpLl2Q7J6Q3yCrb/kAfwdS01bH64XGNOQtMJ+urVn
XAVjmRH8WTu3WLz3SBWfZjc6Zt54Zeg0m9UUrlLlfQ5ydZt7Lo+RUwFTzXkAA6luHVdBohOIagpe
KO2Wx/jRadkqNeYVbYxE0jM+e8QyrBJlOJcBTZe80Uw/CHVI3wG95Mymmeu2tQY8ZMzODAOu05R1
JZoEROAeyCjBlZitbe91DNoXZgHnQKuhfTpWsGwGNfDzqcI0llh74TbmeTbcDcSNiCZQXyU3otA+
BRMYpDCd7+ayPJAq9KoV2kWXddM2Dzxl1ab6KaLFBiw1ahAE4xelH/9WCmdedZhasQ8LKRqvvIUA
uLZgeknbwaL+Dcz6QF29b3UND5m2i6L2ug6BgKiDsbNn80Qa9L7MucuYHAzRRurCmhUTQjWxz1HO
5MgxvyqY/pta6wiO/nnLP5Y/tRHxO982fLIiUEbSarV0tNsUd39t+NTBNnNqFVWsbasMrP/a8F36
EUCCKIPRGkAKYp/+1rcmlsvm7O0x/qaprf5eVgQpyh93fBfAg03lQMXhIECTP/+u3G1mlDOd1dmn
0CjmQ0VdIBCNu1Flst+EPYyaOeh0+DK6HWVLt+XYhg8mZ3jUxcm77l/Njm4Xq8yg6CYSGOU3wGRM
VNwdnctViPEN98w8WBndXyZQ4cPQQcpbzpy5AUWmpC+IXcPYUCy83rLHqy5xoIdFShmumcwpfjcW
D1BsYGuDBmwlPqFp+pbtCSI24y/WpVBp1kGn3iaFfqwLmxCGHFb/pF7DWoF8p4148AIBizHfF1Vw
0IbxfoJQTPID6AAh8k0ndtjtEX2HNO1iO4n91GmZTI4OzTqXrbMLCAWDIsMQ1jtrKutjhnVR6ZqU
QzHjOURjYjnk7kWN6FiXHc246x9bzCdkgmX7PFYtpP/TuSFbZz3YPYDvzmMx6auWA+88LtMWkTc8
6Xk1WWiVkRisIPxPSzj1MD3d/rNijnvgbmCGsBH5eaB9HkdR+p3VrMm+YNdDxp9rGYu3Lvy4ru+J
wcj9pBoOdJU6v49pUzK2ulFADVRORx59yhKmQBgN6kDskLiFi9EsT4leXlfVwDon9jFopgjv6qIH
BKA51WrqsldzwmtaR/2yNTBmZekyi0zoUSK8MIN8VQsX2FkAkwl7VQI/okzX7uSAuTTaY06huE6z
Gvo8aQxaGD50wCwQcXoA1iYjXip2eOYEA6Hca32tai+kYGBRqfVDWOIJmlNrP03aTRuOK3tkzJGM
Grtqch0W/SG2jGXqxN3CtucYmN+ULQRknm2dBpGvjt6ZVrKD2dh4KzOt2WpgVSBTlSdLK9pNZIBO
MNI7VHLElVVYNqtLJRJ4CbxUp4HAccrNEvCe+f3guEuZM9KpxpMqmF07zBr6IbsZU2sHqHBa2NJw
ErkoR6cmAVOp6tEesj4B1N5MLuYwPBQcgZeJ3j6MwXCvmc2t2bC/ksO5KSLvMmkspqX4nawWHh82
B9CiA+loqVhWKXuuC+7OaLubIAGUVSZah6kh3IWNSTRVW1139vyEXea5smB3jPGULKgiKsKhTc03
1e6ujzGTaClxIaUdXShKeaE63ksBcYQ2WKX7eqndIFJdUz/eikbdKEZ5HpitMn41bjg9uEs3UoE6
jcqJDtwxdoTiG2m8HuMM8xyRWSRiv+ThPG7Jzt52fW0CqXY9v1CgITDqKddtWzwlBQgRJBbEBYyz
u/fUCQqqhuJenesDKVTrfABFGOhAmwjUsRe2MqyzZrrUNBNzDNlZZc0s2nHuMIJEF5C8spWtjW9p
7F0nJtGitoEFXctGzN/z9GXowYH0PQENVACmjxwSAkojEygcqOxBRvUcAEqxGRiSEK2AZhXxhDGn
tIjuirZpOL7YUVusWrsoVqPtwXiojihj3lIsTMuS2CushpAtLRzwAJ6/1CAvwzLeTrS2incWZlTt
HEnHFGAyVSp0+JYK0NwO9suom7uQUNMFIh4JDUuOGsDNCfDmBICTkB+cIME+z5Jd1FY3QVR9aSWx
E97sYQLhaSviVkimpzExulIl59NjXWRtZDxD0ujKkTTQBCxoUcIHdQZIoRlIKkuyQwdJEY374d6T
XNGuJBe1l6xRcrifRkkfHcGQppJHSkpoCQ1NBxELrFQf3gbJLiXDPl4Vk7mP7PxpnPhENQ+by9Dq
5IeU9+/5zUYDkM1ElhlyeJpSBxeJgZemKT95uon8Qf3SazwMID9uRc0XBvLcWFpZSzJcWHCeyp1z
D4WYFGeNAcqgEOXTn7CMXXOrOEyjy5m87LVlSvp7r+iLGTKvwyl8GbnqriupvhmsjTtzsG50ETxG
DpERdRa/5egWFoE5cFJDl7ht0v7OKIh3QJo/42Wre/xI/zVGvjZG/nU+Q5XUvhFh85PWyPfzGfUP
/NZIa5EKy0Lpu0qJCb+cjACdsO3/iXH+1hqx//A0MJmOw+7/XVPQsP6AVuEhDJeAKoYpv+W4hjP/
sUwCzWHQFHQNKGZSMPhjmZSLzMSC4tqn3Jj7tVADc1mqzpPDVLJ0uge9RdA1XwVTvwHdudIr96pr
w7sgm1MfY6rhC1xRVTEdAeCEyidjSO9yEt6WGuKSzVQXr3aLURpaHAFzyVYNCxaKrsTDXQd+1DN5
hQn4rBS9eNXaIiYgIRtWLHMBdOoECG1tb4OwvigGHCSJET3k2OoI8Xuasd5lwq39gcS9KUmvvMh4
qW3tcewn3bfb8Qg1tPSnKEWCVSX7rsPPbOVl/zCp7nMMF3VPsGGw0gaLdqFI7tIue1YnZ94BRdgF
BBpjgZ63c6U/901+8oran2znBm1eShh05ZUMfZPhroviJzdWtoNaPjS1El44ukDwZ/p50Z+0hKSZ
bKL/EJ8keamaaskkjz6XsHWoHpni2MPJk5ChMtZ3ZrnGlM4xDd+mfiPzG7CntulTpUcsfiLZ0OOQ
WgXZIcFU2MJXgDehY5wzg0VpNQ2iBI8m0WBgElMOdl4O27Il4zCIpXouwd5qH8DzzmsT1riPdmtb
ldnnGlvXstUbZs+1uqntOfKtvjtPrrdVE7YnNeiLTVRgUI3xcGcF18vwVaLBRIuB8G+eYoJrcES4
87LEkDbaAcfPDoR4G19mwjvlwlzaCanN8JUPQyjxJc7SsegptCZ210zlpF9IfFGIhdW3h54QzNSk
FeA0jR/HbU7iPf2RKfbwRufQglvnBVv0DvB3u+4a3KUqcyxM/VeDYze+o2FlqYxPk55Uvlkl14VG
zRzxzSnCuLMA71Z5Vq8QwbuHStGYMJZHkYzPfT7eR03zKioXaOEwBcvZttkuk47RfU1hkibtrp/a
ckkP6qGL6ZjPSGb8OMqvgsY0/LQft8SVl+uaAwf50fawSMudoccJqGdcx8AbSyEuTbAYKeQ1S8vw
3VJPiR7L/JQZN8lcPBMSt2+14VjOnExw519AxT6oebnTcyKwMlXs3N59TZpw50XhhmkwYkG3uR2a
+EZ0yh2GsZ1alBcdER6lbe9SNbwEEvVcNNmdnVZ8qDNpt0a9l3LSrk9bRmrjVZb3G+ZcB7OzoR8P
W+GVO01K8yeTjnt0EZqYjmsaVoLAoKFRzypDyHU319Qc7ePgULM05kxZ1V6KLsvBpDgXtadfW7HY
p3G/NdOp4w7zbseg8dJU62MoHOzEPagBBrbAC26asnlgS9zTPDp2kbmMwum6UDPAZrz0aRatkb0/
hKmzscJym9uxu4PzvbH7gYxipz0ahRdz9jeQlIQ7TplXudLDTkMsF3X1rvfUR3WkxeSqWbb09O56
iKxDRwb8glCsaIH2/ZHpw9bp2KsnklXHmcOZWxyNzH6eXW8zKAhLPMq0uH8qwG42lvplbsIO0j5n
DxhbMYdgjnazUuTXekwtkrlDpq/d0mLtGw3jAiUj8W12tvfCDhRMuhvbrl0omkcTMLo0+2wfhPSj
sZceh4DeWewVr33ckoJSZydF9TZV6Z1qoqyAdI3rvFK1VWxp97HWHUby7IxUAbKa3MzyK4SJ+Cq0
kbcxBIU97LVQeRjV/tLQtJOawqi2HRnbO7zoCsegWITYyysq8JbvotasddGF8aZy82dhGMfJ4/jb
xvU2LZMNes1h2djaPZ7xi6rpF1GEUKtRrnoIf75u3jphR0rP/Jpkzs2MLuRQWJXYqWFwLfLiqEhc
blBlK3O2njVhbxw9WJgGrLikJcFtqEd9m3Kk1fXwLaVCZDxUqvuJSaqmUTJrmrDWamxsnMqqIa1G
As4htb0dqtsm7x6bIb6pOOpPXXgb1M22UDjajoN7Xwzxhnu+Dafsoa2ifjea55Qs30Tt6U0ijG7z
cWOZ5eXQhrexOjdLusNbhUChdnZ3dWNfzZm2rUOPj0a7VKq6WERYxvtOv0nRzqxUtFBLt5b6J224
EoZ9bDL2+xVqHJ0R71DF91Yetyz+pJ7qBXSH3M36dVTZi7wCXxG7PW8nPYrY4YxVc0tohbYUjBsn
LLwzxD2XbllfrGYlJvurrxAk96Dv6Bq+9vDdTbtI1uwwUCygWy6FLtU8iGHLdhuQLLscs5Ytpvf6
iyQbaX8r05eiZozNW7xIJ2KcjIRuIdN6d2XR8wVwpHNit2us5rTutKhBJp4nNklCeXhADCgui0pr
HxPNAV5ozbWC5G6wrpqhmPFmz8ichswkiAONoIaubkZpoSkHACgXBISddTddm2OycvT5Pq+C67BC
EVHpwFuMwtczt1vRJ34MBiuRDuhVrTVk8KTjpkOvuzLa9rVnrKGl7pMZGMd+gMaBEpnEvHUb0BY0
mlus+NPSdaIXVtZ71ai34GMuVWt8CxJjD8Qe9RPyeR6k0m8U41HM1t6Jc0TlmUGFnJOugQtcYGHv
2KIZR0IQeE9Tt5ZZWl63KHbgvc87EdoHa4y3Wk02YSp2uUdYUammS3QrENUT48ob8psW5HRfTmSf
FcVtQeAUrYl0z6Fzp6rK0ePkSim00cdq1wbeRkmjXehU+1C0D7Zp7DP6qrXBTmu469QVnzgYg71C
gR1QKUwQBeYgWtWchpl3vOWRd1CKwm946EbCMzsv+0TEC2mMXrEr1fi61pMVsCXfM+lvGTm4/1G9
aVIFe3ehKD5JoWQzkPEOijPAgeFJPHLnNes20bZ5pz9iEiN8XhvXlgKZBWEipUW1IFCyYnVPHzOj
Q3dohYsBYaWXMuvtwowMt+Te84KN4c5ntSd2FGX27TSgekzEQ0kfkJMzumuljz8HddlDFEPs30bM
xyz1FITG86i29gpD0soMnE3ixTsvVr11GBK5ms5QyqxTKzTueICCYus8LGE5WHSW6HDR8tZWwWS7
l6VWXhQm/YSM8XDUqleZqRyyFnqyEhrrpgElE1gRlFDEIdtosp+sAV6Lx0qD+348jKMLNGMoH0Zr
vhKK/aTrSbAWMTORnvJFtbt1iqQEqzx3zVRu68mlp0KT0ZdetA3rLPHRfB4F+sE0VOZLRa/3Qgur
pW4347Kqc06KY0OJWMFV5L+mdFpqfXUTIg3ZZHO+o2dAtkXbEZMpd23LfBw1XrQE9eCyHiFgVJN5
0tL4BOvSNxMz2jnR3BwEVAWAr8YDkp/wYqiDK6/JniDlmFv5upMRiiCwYDfHnWc8uREUUGFe0UeM
D55RLF1N7EKh3pJWvZhLS0WR09HIIGc7Tw9VqG5Itic22sq/oKzNWMt1DrPubdqWFzEn/JR2YI/P
ZdXo7eOkVdfkUEtIu3NKtPCUI97PHHPaA5u+rzLv/7F3Js1xG+kW/Ssvep+OxAws3qZQI8licZ42
CEqiMM8zfv07STVtSS27w2/tRW+apkhWoTK/4d5zn83JuMG5Xp5bBuKoHnz2Vu/M5yX3Dh6hk34i
Y2Yw7GrORa1tS7wo0DTNYZ9ksDBbKE1Ey5i5NG4nLdFpI5qGaS0pr6bOKM6wxUbX4oAV4Xdz8atv
Sui/ABKYNHW2BzdQ444HjiV/aqCQQclJ14v4lFSY5opju0wrz7z96x/yowgbjPD7DyGaFpo1qI2f
h9lpQDCwaNv4JOeDKI5SRKDa77rx7q9/DJ3odxKRf/8YB/WKieFdxTT92AwGUnp0AZLCXf86lvfC
+C/whl/8+0z+IWUDzObl+vm1ar3ZLtlxZ6di5EHbuwGig993FL94L37172Nl5BXihVJMsh9//9BR
A1qrxgVE32FdWf+Gcf8pUlx53P7Qwv/n6/PTe03eq8b4nteHJA/BEhcirbM2mbe/Zcn6r/+UX/wo
h7ZbWTMtPMzeT28Fa3i5jEuZnmSyh6TRyVXFINX0uYZF9W1686d/lvq1f/qzfnhbmF18vyqRWpwP
jp1lp8rwmb+RicpHizN1HrZ//4/6/v3/6Y8qnMQDQPHtBzEVJ1gbdxD3iLqKq//yrKlf+uc/Cq2T
JEQT86yuKz/jd/sfwyr0kou3OLXGNsheh2ljBZ//+s/51eP23Y/4+XFbWFKXITryU+G+JsGzKf4f
j7NKt0AdhhcEh8iPf0JSZ1ZnCr04JZyADHCz+f9xeLEhk9BXYakaqHB+/AmFKKjvba08Lc7r6Fz2
auPT/Zez61dPMg8x+jZT5dMp3uD3bwSJWlUxI3k8wSaCkqY2Ltb10DCJXrNN+et35Bc/y5X8Gbrm
4IVj/vTjz4oCYLIespZTpHrqDZmk0bxxambqO/3m/Uf9sxi2eAh+P3TXr93r/7wBHunmy9f87X//
dddnr83bfw481Xd9txrGcC95qHRAkpbKgfnQQbIattj7EmzLjUZWDG/gHwNPBGL49aVKboBOyZc+
VsNq5gkMGCqkA3/DRtr4N7j8aM94Cv44GpC8SxUaA1pDyd5Zsvx03mFexT2Tl/3lkpUc3nH/QjtM
ZZoiBZYEHs9N9mhp5EOzhTjGDQMhC66T3xTDFUDBg+NBG2tRUbPXrdfoZc6JUD8yPBzRbMW3UqZf
WOECTCoHIGdizBnK6Yx0alaS0g7xONFBTfJxREast+aTR0Q9bDvP5JySPYKeZUt5Kjb1SEat3uCj
CalPYwppyy1eqrm8HyI0OiVZYIhRbGRR3aFgl9x54jEoZjYW5LYY8XFIowvolC9t6eZKknbVGNbn
zAuxtfCH8fmI7Z2uMy3Syud8lvPGTOg1WKWkJIaPe9cb72e9gunUjVvTXBiMJAjYzDGmbQQlRSeN
PiazL9ouu6P3w6oSAg9J3RuEXV/q1ruKLZYees3oVYZJtwlGVOnVACG4+Bx05XNQ6yf2xp8xN5B+
lzbhpi9GZ986+RWi/H0ckS2YhC/AD4ZNlbnsoW2A6GNVfh4175gKRjX5DH6jerctmbm3xYIOEE5z
LujS0GIFF7D9iZSsmu1cjlvZjGch6VKhbt3My/A1NpM3J2/ujDjcwS17YrWXr6WSzvMmeZJt9Tgy
4dMle1M6NPvaHtpj5E1fcfeWa9ziuxJ1EHtrAmJzqT+aoXVjdkwOWazfmaH+tdft4TDH6tvJj9+a
Rv+UC8ZHJRE6jPa3fUd+NNaqZGfb2XNpJrioqv4SHymVdupkPm22tZJwiO0l3UqHjEWU5Lu6i0rV
ckLQr3jX8o7MFdDW696MEfgt7taO25acdvbcQV4TXAb/q8HGurLG5cbJrN1Y4HmuTeajS+DyL7FT
kx3dn7u0yTrreeIsZxQ4j3iI55b3MNerkPnMcluGDT+1cLdhMGwD2d8urnEWjykRaHrGPrcOwnWY
QY8Y+vRzV05PbgFt2LGrT1JjZl6Ugd+Myi0n471do4EoRbSXCATXwkkLX0IXJKAdlVTco7YQ3h5P
PL3q4L6xvL5wJyCPVUsv2HgdeYy01ToZhpswR/9YW2eBzoadpzFnSdp9Il0R62yDRNFcquWKhFr9
3CxY1SJe8MJDprMzWKfp+MhEAjRjI9oofuBlCLqT3qnRg83mfWsj1CrunB7M3trsKm4sD6Zf5Gsu
2zsRRLF9BXAwujLqKXwG4blpMx6hlQld77KiG2W0hSyJVZzE0suGDq5lLYUfetZ0LTNxFoR1bGwm
B3DzitJoWU+u3daH3pHENNYxJFrGlkaWExyPunLMrimgp3onE0N/Skdq9WNWVD3nTBZp68l2Psuw
Z2Sd2nODI3AMSm/ZBKlp1QzmdCe8k52Ttc86DX6wjgzCSUBY53bwkloxO29JdBRrSG8iU+Cf6/Lb
hpAi9s+vy8vXiqLv2wV6+PK//9J+/56Py5KoNUljR78FVsr0VAn2cVnyJahWkMilJhXcjBL247J0
f1NeL4OZtsfW7t01/HFZur9plunxFUPZiiV2sL9xWRpS1eTfX5aWWkFStGMzRppFotKPJVVTt7lp
EdR9qipo3xod+apRBPAKFLiW1LtAOS4VIzyo+k8SaHhsTxz4YMRbK8gQdghM5vVaKtD4AmzQAr2K
vLnjTohPNhmmc+BeSUUpZ5qtc+nJXQrAfARkXgI0dwGb94l+ShTp3OUc9JuwSGC+jre24qF3gNGF
XZwDtYaappjpjg09XSiOugtQfdY5Qkkn2eWg1qWFhaYCvu5UxhVzspOlqOw9FztASlDtfGp2wcRp
NlvedQbMHYOTX1goQ2YLQnKYQXyfQb+PigG/KBp88c6FBxC/KFK8Qb4wjtg9Mz65DSdo8uwzI3YH
IPChsVZnvQzTjV6NBTE6jrdOo9qPMwz6dfYp5C7g6sXlNLS7vm4gLnIj7KYFnYIjo205pntSgzYT
ume/bqN1Y2baQZ/Lc0Nm8ZlGkjCXv+e7jaQsSFnApSW6htG+rbXYJpCrAVVAziVRX4154t4+FGMv
V1D8EWu3VnZgm3Vpk0ZmFEXnt13w0obuXSKgg8bC2Jtz8EZTX6xyoJmuZ3MgsQEF3UWsjjDNfRkF
kD7SXN6xOoR5OlkHRp7T2gwrpMzZHmaz40cWCN5waWu/jNvgwLJPEn8CzL5KuLyZnm2WKJ43dYDs
BPz/50ZjngkwH3+rWPQbr4aksVgpQWUkV5IpHa0F5u3tMEovpTvSc+DOQXGwyQjYYwcZ/VG46aFy
rfXkmBhNMCisGOUku660snrftGEZ3LqEDZ9pdvQlFGW1cVHZny0AVnwtaw5NHd6x3VT3o743RQXg
hmlkG/XWZnCZjw1FeV64DZz+/Gs5FQ1XzYixfXiqWrYp6LUeeh3QQ4x8EeV/9TS0rtw47XLRF9NF
nkvTb9zkeulc8qDLcNeN1hG9Eh8J8dCNmqTYWvaJzqDPDs2Tg++6dwE1xyjXoGeXK5zXO0SFF5mN
7lh63ctSBadBpvdQN4A5ESkU6jUirpktaqLVMarest3GUfHqyfQYhYJEiDDaUC4fi4zLln7WHx3x
JQ7ieyJsaz8UYUSAqfxixNXDkLprQTrPqoEv/zo01kZo4nkw2QKMnXs0AH/4GnCgazs1X7oK1q3m
fHGW9pxJ9eWiIRyKF3PVlkiyy1I/Fk2+yyTroMqxz42p8ZuGgbPQo5shpAzGGPuiO3ep2Jize17F
8dYbKLS4cfHJVeIuHoh96tLsGry7QNvVPFeiu0nsPkCQtVxFFvhwyoC1QYhGHicbIez9oljvxP4B
fW7glKJsWql8DsfzgD6nJ8xKPurzQwP443xwJiBB+fLi2UO37fLGtzFNWbigM5GEfjfUF/24HLwq
/gTgW64CTSOEaETTHCe3XWZ98hpovf3UsmCscXEI0pu1POBDXEYY3rH15TVn4cpbsmnXvoco/HPj
frs96Qz//MY9Na9F+IsGVfWTH3cu2mWkVjr/muOa7wbn3+9cjetTIREtHauyRefxx51r/OaZjo1L
j+wE9DIWX/q4cw3F7rL5H/+sCkzV/86di+rmpzuXu5vbG7UQDm0aXvenkUlt42EeqQAhH2jkGS9Z
6uGf84JzMdXyvHBakouFnPsXM4nO4mB+dkNt8Ssn+WwMlsamgntuj6w5Hza1AfFHVnW1mZKY5xa1
c/lAFW/PPsbxNlTaC65LUgx1WiujeTWzIH7rehk0W72wsNK0HAoFa6yC5fw2Qhxdb7qshXeTNSbp
2E0CrwYhrMdphCYx6D38TXFlw+23JpWn0HwVbjjhRkAIaMUBW2Md+4MLzsZWclNhcPYDoGdPNdMH
Rw2AZ9as1VJSQEhu2fFaM5aLaPAUMvDCLLODFkaHiVG+b9kNoQBcfX7ZDvBwWjO6qEx7JytxleBW
uKkC97yrImw4IQaqkDXCRdGWja+LMd3MdoKQt6L5cOr+NHXtSaSTuxrRO6xmVpe4G8ZNhPTbw1TR
EVYZG3PzNTW62ziTtxR1ucV6oyuuRA0QzTCRdtbVNqzs6KmM8RB1+MzbIAeFTKiYUUZfOcATX6/Y
semly2oNmths5LfCtsZt5bLSc2ro5g3nIhpSb18ReAFVYgIz5NhrXSui0xCSq8ckANwZ+uhuEuWN
PbLQJLkNcXqzMryemBydWioWR/LYt4MN+mfuK/O+9TQWuiwvGxwZWwquGAVV7k/oOMCQONWzFfQU
VpqgWMHdHbZ+O6Ph+u6jePWtbPzLZQkfOEXkpEBg7Ehh+2MxmcholKnXJpe6jKqtkY36azTzOo0E
iv0brfzPgE7N0/78/LuJhzdWvl9+cQSqb/z9CDR/U+NY+ELSxIBJVf/RdXA42hgy8Uhy/tBe0BB8
dB3Ew+Dh55ijGzDVCfX9CQh6AoARj/2/82H+RtfxjtP9vulA9GhzAGOItm2ifn+mOkd6wV61N3A9
lDWZTRciA2qfsVeTbS7XLLDTk9frRoqYJdDQ4Yw9SEAU9A47Uhg4ZDVkp76sxWrMJ3GwrMI49gyM
1qPeFueYlPLb2cCN309mdcGEovzcMeQ60/MxvTU1EA1mmaCl6ybnLdBjilvTDbZa0hAF4RAc8xJJ
Tm521giOm7FC1J/tUl0b10tWWJ8GPnNfhREvN3prM8fwwO+QxKJloF48Pmp2vZ70RF9ZMkHbFkGn
yfM+uNOx+t/0lciiW5lYadgi4dbq5UAtGqBD4E4iX15zilDnB/Y4NbCccZM10Xoe3XJ+Jf5guG4a
zR0p6hsdr+NCVMWlbVcJxMG4Tu5FsljK/Zg6DrQaxi9s6g2kztYAvBYptHEwh7zbLIzX186Cyw5s
vttVJGqre0AOjWedg6RrXoP32yJXFwfOde4QUav7ZI4LwyAwuE0OMzNIb10u5s2itYMDsYBrqeR+
6phTnFU247ajhdzx4NZuPNwswBe2c2MVi+FHPJjjMfcgn4lvp88/J4LaDP35iXDXlxm5ir84ENT3
/X4geL+hN4YHbbNqUrSBP04EvN02U3zEyLoK2f1+aO9yihiGKyHyq0E/auTfa6L/RJT9jRPhG7P5
jyPBVUsBPOQG9wZYGpZ6P9VE2mAxmirz/LRY0RlatpU5lJDzmOctRVJuB5VNmRBSaaq0SsswybvW
djFS2wiWJQHua494ywIZQU/c5dhWr2lvPhOa4KfEYU6LBs/S3C8RvV6qEjMjJ3xuidAcVJamTagm
B6Xtm+85mypxc2EWd57PKA+ylEG1q5I5SyI6+29ZnfmVq9I7vdLDFEB/wsjkky2sLVL/q2gqT5VK
/qy85GlUWaAloaD4lqlg+lT5NEhi6u2SiFcyRK0p6vwlIlc0HkgYtWb3oiNy1CB61Jint9lcjqRX
fcqIJh3noUS+FO5KQktti1llOdgnizjTTOWaepF1bxCstJTdyxjZ21YloDak8K1Gz70yCUfN8vKU
EJaajMkWqGaAC4sc1cTJxEprxKOn0FflUjHMSS6iBqHDUs3nBubOA9kcNJwqozVSaa0i8V4m5vgc
4shK3fKyqq9laWxzYl5nRzux8N72xnQzY3LG3Izwm2BYQ0PNmYmnwQxQP8mt3fdsQwb0gcw/P+Hm
u68E5oec1JqVNiWXMyctI4f+Wk7BtG4xuT7U5sF+j6vtVHKtUTvDZUiYbaBSbcGukpzSD7fRTJ4G
glICXsjA7erioefXCIg59FOVk2uO5c6KJa+NS2CQnM9rlambJIIpq8rZLVXi7jwbN7Fbno9j8AX5
JD2+TThvad8IrIi+6OwLT+X39irJN1KZvnET3Qg6civpzAu0eey+6+TODYrPrmQVHuTXOQHBpL0/
hB7tL8J/UoT5o/aVyhP2IAAQhDiFPhzgrWFSFcZO4LO/StEh9ZBo8r21pDuJHibV8QwVPZFLetu/
0eVUa9OmN5dO9VQSdOxpVXYRWbzatUpBfid3FZPWroy2YZjDYnW1QGVb2YzUjliN72silZnuubis
Eva2sdDQFLlk/vQFfkHCmCVGoQuNeObebZ9i4pot07ph1hT7jkpyFhqZzrlKdy4CxGXeTDRZSfRz
RQS0SxS0YY2Qs4G2Mj78EgwCQxmx0V7l3vSUu6PBXEULgoPD1onsMZzuLqHTmKsynwERetEwbcmV
YROU1KRUi2V+DY0Fz5JKsM54RVcdodbdINaSkGttdvAiKQAoC0oyKfR8M6c3gII1FY49kJIt0vm1
G+y7cBru0kyjh3evUhWrTYS26Y8qatsgcxtuUbHqSOGOlm4bzYN9Fsc12yi1s+ktxMXwlV55X+cz
gs82aL9N4CTY43TcVfrUQhMQR8RtcPZJxNpgHHwFirqfq45uxoaoKJ0YkMNIpvPclGRv1eMtVLyS
2R9mpIDgSxW3yO+jzF9jzxPI//9VV8aw2coCOKuYxdxM3NS9fGuVjcy08/isxFlW4TBrldVMx3NW
VaRH4kEjA8Zm+oItjSWcvrVJ2YuUZS3AuzYR+rvOlZ2tRjKwSpXFrcfrZirTW6nsb2GMEW4YsMRl
eOMC0572JW652o7LncfRaOKjq41ewCQ1j0sXndrMoPJQprsZ992Y5CPqlvKqxpeXKH/ewlmJXw+N
nO6X7xa+0nklPYviIYLgjMlvjCWTS9nfI2PWfGqSGuADrspG2QPTNnge8As2XX0TKQNhCHKeaL4e
5CNCXROXYaXshg2+w94Q5EcbsAhHZUoEbfAJNhNHReWXuBY56HZhjVJfx88442tM8Tc2tWugB+0f
TWV91GBkrqWyQ7JBG9bxu0WS9psgbmyTmWagIk5uC0LAlgpjZZBqz2M6KdRAsrXePZjKjWlUNssl
/WGwr8f2bAmexvjcjIzrggUiWLWHROT3MX5OWxk7bRyeurJ6Vsr0KRP7TeOg32j4QVFj89FWFlGh
zKKOso1mykAam5h7PIyzIBQHT987ymqKkXKz4D0FLHUeKTNqHPaPToe7UuJTrbtLhY7urF5RkEH6
KDdrpnytOp0/FM4Y+MKyy5T3lbGbhkmwOXrKFztAp9gayiu7oGlbtco/a2GkHTHUWp4r/NZ2MYNo
ZeihH6XW35tT+eYygzuORQchjlwiy3lMynzcNV0Mhbmrl/lSi2TsRy3vszMvNlPejsUWQVacX2dB
t3gnnEflSS5i2eOdMA8DXOisiVz3tTfnebdMk8557NYbLo+EwXu4zS3tqFfWgdPozGbpn6IwWzUM
nNeiMY0H3CecEENNHmIr9tjHL02zDfdFJN+MWb4Fc/iJKwdxZjSRZibWueusdcb/Bg4kgHVauQbD
8HmK4T5YYbRjm6wzgiSssgjtp2jCe0G8cLIZyZ+ttZZEW33Z2oNQfgabiSnE7E+dPNPM4CYNnL0Q
o34ZNyz4K8LN4z7X/DST97z83OJa9lZNydmAXX1bQQ5Hur5L3BZFF+yxLZID1rlsB9YxkumVVo9P
RcfYdcpuLXNe25l1n3s128yEoMwlPYwmOYJxdgU4PWdqO21Rft85pfmZw/UKO0ThZxGPQGzXN5po
thxw2m40wfl5WntZRIh6nUXbF3an49PNT47XEJsXRDgEGBRtmqnjeQDNTgu3RKvGbjf5xDiosoF+
xKX+urTY67MRZl7MmEY51Chyn5qmupiczPHLXGy0ePKt0X3mamEHoN809XDOJ3ePcQ5+6hjdVwsS
iSQGQ61x1abaRRx05+QfPVqV9jQGqTJKO4+tPh1LNrCYyYDoJUIZ9q3wAUkEE1uRHZb4rDGb4xSG
22rUIdzG7nVkVdzRwr7vq+G4gKCVRfwpMyHApDR6rTFfDGiG93Mzd4BQ7GOuMX+ycw5CEe2kFdvr
2jIxVegXo1zO+8Yw/BApvW8v9mMy5vmVEchlHXauWAn01OshAr06qI32yFoQK1sx4/N10Lcuzb41
9XLdyOSTM1LDuFN/5VStQcDkUO6YebUXed1g+jXG8wwrEodSQNhyIHbeO9Fef6fbW++ke8ZcZ4AX
8x1TwoNHtUXa4Dsbf3nn5L93If+0YyoN5s/bsdvXzwROshL+RW66+s6PhgxvqGQGQuwH6Unf5jAf
Ixq+5No4iz++wnd9jGgAbHDrg4tjavJvGOjHkJqsCE2Nu+GEglKjh/o7Q2qAHT8NqVkMq9R0B4ao
ycT759wQIxmKFsveeJqgdPomhK0tcvJkUyWKmDR1kITS1iCn1Byeud/Pq3bydrZ0nRXZsLHPwdmu
g8LVCOy1N6wZ81U+F45vy1icy255tQJ9ufT67m2065YUUTgOVRbcUkTYx2LgqJgHo95W01Bfopre
JGH0gFpkM/JJ3Maee4Yu5gz6xtd0mh/GKD9zzPRUZ7haNH0P8VzRA4DTxblR0TNpeMFmI1tDf2qZ
E/fRyrTst8Qx70dbvKSDeBsHFb4YwJ6YRkrQosy/1DnSplSKy45xzFoDkbEaU3a7fFY+zRHGWGgD
mp85QD0GwozXPbjQKC+vdTskDRU3qDObvV/36JvCZteHxzA+2JVxU7c23rPgbVFmuuLK1rBdQUi+
LDx7u0zJY15DEtaDz1Fh3Q1WwOGTfJ1DRQzK9GuXkGAMmNhUh7Bli8fxO/fE+PVZlG2nDlhJ7Rn1
ugHnmeNbX3fOSFKCKxPf4DzfyAIxyVKai0+E+uK3AagTupkW8Uu4TyMO51wYO+jOyQ0WRp1RFsSr
ZCaNQ4utYW2Vwjg2tfLIACLjLtWqM0qCm7Kd8Aegnd6xETtYSI7XjdHF2JYSa98H3pw+FKFwwqPe
LvkjoAj2CRnjdF6+YfEnAzflMMXjprDcry2WiikCl9o1eJfytnOOXdC13ktD8uIXSlKH1A2NfWZs
asHWwrB2ciRXRbtAJgn1udhWtHjHfNHje5a/D1QX0x6P9EsaTznu1yo+jWair0XVswOZ3TuvGA9G
Tr5kE/S4MdhmN5p2L/qA2lGOqHeCpdgNI0Du3CSMweHmOrUFcDPJa2m0w3HC1XvHE4D4wIQOirB3
uirmst24/VjdhfXwqUWke+6k+oBzKHqrtIhkSnOW3JXapQBCjlwCa0kuLA1yR9fvmz5o9jqOwtva
rgmVL53iLtVRxFVaHLHoru5Kt1t3nS1WS88sL4ytPSxXBXwRGFLxfxJcPeN48wJfGKQv5MBKNlaM
XxA9MBvoOLDPulm+EvTu19H4ABSvQhogZ66PKlmHpoe0bzLFQQhvfEmTccRHWQfUvl2xA+CSfk5Z
Uewz7G+rpXbP0pH6aGDTvWk6byGghVU1IjivuR4NLbiI8I0c3WG+bBkcUhcjCocPxyczH5ot+bIT
HuWiPQp3IaxbSzGGWtOy+ec+el+YGn85Hrx9Lf5n9aam3Nw970rfP4RK6jt/v4/kb4zjmZyhU1KL
AQZw391HNqxonevgXdbLVfFxH4ExQMurS1pJrpzvQQa2mjcq4KmNVBhclP13riPD+dHEYMF21C1N
sjJQG1OdxIQfV0ttP1sWCgUBIj0ngKc8DHHAM5nZOI6ULTt15r1QRm1AYdfcQrSrysQ94uYela0b
WCC5BbSEbNcSn2EfpbiygdfKEI6g8hOrhIcSp3gl6yP9yoGlnHtRKTO5ias8qIx7lDU7Yo74dHQw
6pUB3cKJzgbOx17R+oEhrz1lVh9drIpN0jzKyfk60Stvk7G6zfXk3tFy9o7pQoylgJZGPf5k9lW/
jrVqnad06UlYYdUtxbZg8MWyrtmNKaRkvJCYsPv8jDj0EUZ+UHKfYaEU62AyX6psEPN1Mg7usCXc
eCTxu1SMdjIbZAUkRMHcPQBR7Du9baUhcRgU8l3n+MKSZmwGhYNPFRdeAeK9AiCTQsb3MvnSwZAP
JDD5QGHlje4yG+71tnSgz4+eP3q0jcDjbh0FpNcg0yeYYlcTXe4Gu+Hgt+Vwbgdte1bL4hOkg6RZ
F1lUyo1FAkG4snOTXJ00BDcdOdaaLeGdjAA3Oj2b5imV6rp+KszyIY8dZqrLVF5w+8++cDwCgSB1
hhWjX4J+tHaXY7zPPOdssoInNl8U+akxE7SabPvClAetB1REWtGMx5QWMbDxs8mMfQS/z6MbdvHZ
ELO4hXJD1L0WCAVayE/4De4yFzNvXtGgevh7zXenb6dMv8QiYMVs3r3A2ugeF32+li1oI4nCk5oD
63BTydsQL3FQYypeSG+vcRkLfNCUANdW4hwAbezSod8zimnXA/7kzs1PkweNY9Jpp3AwmznvPEuo
KLF66BXJo4XV2Smj3cjVBpiKuS9m6AlTdIU5usEk3WCWjjttryn3NPuYCmACjuoFa/XEtHUrNeY/
kzNfMGOQ57zlyQpJ6VuCNXto+N3EjM7bUL5tGwM3ArWdgaEb5Si4UBzeXZ8dFyzfufJ+z8oFbgjz
Nu7HT4WgyWvvml7TfBiI1yH28QobeVEtZ8A7HqSXkLeD0bzFcA7fqWNKaBxh5L/kypMuHHtbKZe6
gV09Ur51TTnYyV169QKiomTOBs5eIKtSG0j3UecyK1uxLjHD6671yagksA9lkw+jE8D1x7oZ1Rz0
IVN+eqnP21o57GPM9AGW+4TEKADtLiFbmPGVKx8p0YWnfPpoBc+zjP8MA/+onPxjkx9crP2DSpxW
Xv9pMmBzK/9/+o4CwKw409wpQEAkFSwAIthzAj6gsBiLNgooINo9tITnFtDA6A0bZHS7xHBfOkAE
eQ+JrOR2NzRiwkAVNGH1NCt2ga5KUDr1CxesgavVJDPjhEVKZTzFoA/GtiHHHRZC6ZrXBnAEtJ7X
uqIlIIA/WgP8hAmQQlA07sGDyx6BWIjd9DHR04tQtvcOoe+rLJHkVJlrvcqOEZCGVPaPaW7eNore
kINxQHoPFLc5gmKjGYDzEM4sZRPQD5len9egIHhIzkrFhoiARLQBkj1FjehByeV6vQbjmW0HwBJg
6s+Fp50LA+JEPYqDCYJCgqLomvqQg6YYsRx4S3oxgXbusuW6UwwLJ6+PBlCLqeKRdSnAcnAXAdiL
lD2KWVuHDhxGa1ZnEXgMzYgeBnAZFtgM1uPZimBflkf4ZQFrpAA2NEXaWEBuoCa/IL7jrFAsjhYo
R1Sm5zGQjglYh6cweTrLU62spZ8wSTaHeFsA+IAycx4D/PinNvlWm1Ar/FWvrGqTpnhtvsS/AlIq
5dRHfaKZBB6qKkPlTr/XE7/XJ0gaAAuizkJGTceqdpsf9YnFVyhCPLpZlouO0lh/9MvGbzTfyFWo
UCh6MGT8nQJF09WC8o8FJq4jDTC0ZTsW1YnUDfnTAtObLFF5PH6XgjXA2lKrdpee82Cr9fvwvonv
6q4BaEH2AqT/VG3rg7Fuk3sIRyCU3/f5hVrtF3UVMj6GezlcT+/b//6bFCCc6gVhAHNdVKOr+pto
wCC1qIZHqdQE6BYapAXdu87A7TqIhxaCyFUhYFStlnBJ7vKSO5xuL9H9LJXzbYTVgZzeJIm2VZWh
ikL9tSeQhtGQ1TsPhTYI8C6glh8qgLZIG61qmX2zoE8ioa0u8F5X7pWRDtWzkROQIKzK2uN4hEOp
DVlAb6aF7ipzk/iIMtglsD5Y8tB3YzvwvVIHPShzPzeSHtuzk186djHc5MjYNk2fgryLnWLY9yKw
6HBr90Un9WeBZu2VzMvgBE8rx40tB/lr5twIzQWDtnR5vM8aZ/mc6wKYWmjObeHPkktQ3/aeldCZ
4NWB3uMORrezaJVFu47B2j1DQtG0TQrEG7OU1kcFMYURQgtEE8OiuNujsSzeHo8V/9lcNeHOYZRx
3TZD8mJ4RXvtOa0DbZHV2ipDrXaXj9WlZ7QVLF/Bq3lViHCQm7BVjOgwKPv6EOlaH5zcWE+eU2R3
d5MHaZfSqEc2PRYyzvbSKDCuCbcKkkNN9Tad5U5sjm/26IZvHmCyHXSbAHpNRHBJ7MFgaEWLqUdg
Xk7duH2KDK1qTjWdHFdUt/rn5Pp2cqF1+OuTax2/hb9qqvjG3w8t+zeJVZKuRSqrhgLgfzRVHFrw
6pV7mXXIN6L+x6Fl/Ea/o9qtP/qtj0NL/40OzQA1B1vX/btd1a+UqKah45828GZinJNqCPidi5rR
e9RG8GOODOBRR1vEl4VkNdhWepbHPLzQ7YfFacgikZUOW6iYl9ue5NIwKqj7IN6+plHhGx1Sclm/
oCTQtCuQ7yx3kgEg9aodCu+Ul91yFhp9Fh+gEOl3YIeFddBaiRPN80R3ygMjOEtnW3YbPU0T7TZ2
oHSfc1xl7WePRcp4bAwkFde0Y7vBLrI3ALRgQAvibVB0u32CYQqJkfeuNurquTuYmU4nsixRij9K
SWkX00FX4NSRPNeV1Lap6wS2J+i5TUSGjN/UTbfp5RyfW91sXgQBq7xV4gXea98CN2WoGcD5R16D
iqCI+qtIt16xn79Ag/lMymm+cUxW4ZVtvVVd/mZ7pcZUMK/NL4DSfJdVg16H46FYpLXtUtG/jEQC
rAZdMiod017DczFie6EefdQEgxGPQE22Svawb41CP0RY0S5Equf7VGucSwStE8qxqt6ZStPfDHys
87RgXeJWCA8aShxvCI68udXaRn/Zji22xS4/d3uPCPigccgLtZZDajJnjXX4IqYXsYmp81UT6kRH
zm6C5haxqVOk68r13lwzEqTXLvtMoxhEILZjVQriqiVoMgzYC7fm9KRccet0XAaWktau1DwYMd1E
8G0zXqYGWZqSyErfy6xp3WAoh3Fe6ScsM+ktkmbj5v/YO68ex5VsS/+Vi3nnAU3QAXPnQaK8lEpv
6oXIqsyk9y7IXz8fy5zOqq6TfftODzAD9GMZSZRERezYe61v5ZaVv8aqqPdZFeUPgF9rhK7VSz72
8eHfq9a3VYsC5+NV6/Tcvv5u1eKBP1at2bPmaAKIlf1VP8o//Vi1+CdTJ2LGJLaGAcX7Usv+g3JK
x8RtWpi8WdX+VmrZf+BwQxFsav8N9ve8Jr0vtPCJuzpNJ1Ofud/6r4VW0w1dlVnjcFaLyzoQqzG2
vXcfym9kzFzpu1eYtWiUihZr8DyCcc05xvv9qmgNdmJ0dtedGxHvI/teUc8uACyx1fzLoafd8K0z
+ZeAjq809Q9fcb6id+uwzlE9oqDqoMwQrOiMmMAWY1Pos8SgaK6GunD2fYvPxkpMf9FYayseK4xU
0jdXbdbajEdy65PUXX1nGRy9xgosI+NmY2E4IXKk9D53ULiUtfrSK8mbK5XHORK+AK9OJ5/uPsFV
ZOiOKU0ePaRxkYI4z8gug+5nbRDKRWsT4z/qdwQf/ijzZSQjZvR1R1TupIJXwhmvDMCJu+ja6fsD
asJiYUf9Ual8viUkYJnvzIe+1kNjsBit4crHPEcot7EtCu2yDzlvOZjWVFpKSRwcCldboNy4qxUa
RX3+qZ8MmL7htsdxtNJg7Eat2IjS2YfY0BehhQFcKWt80eF4KsgYurFbamHKX4q/m6IKra1VMSyG
5batAGS2V1OJrmvZZTVyvTQQx5a+CJmSE8Vr006In4yKA6NztNh94Psd6QDtZMJO5Pog+5IL5AkP
TCGQqFFYgfAy1rUefSE56iVVCnM1mOIkS4Fp2fD6pDy2/rACU7pDYHGpTtWS6G1qzvHIsOnYOXXh
tVOmMiQeDk2vPlRYJYWgy5fl0x0E+oB48jG5iLr8Mk9abGIsqFOyV0loXUhyrRdJiz6qkg7OsZ72
uYCO0cT2HfstPSBFDdZ6VhIN0w3tJvX15soh1uVIVjuBII6OMPCFRL2zCJ3rpqs1tFIYOMOwXmuA
0vw0uuxy5Wbo83XI8X2BGmzlRC4H8/bFDtlrNCu+0nFUu13WLUKpAWG0PChkV21XUI0SsWINYjPU
/Vplg2gteHea6hVFcTPl4jLzK1DxkkZRmyb9tRzDa1Tfu5pYGqd0HkmZWkrbrAG/KXR3o/otpxmK
yHtDJg87PFE64IhAxvWv6hAcchCJldDQrtguWM05/NOIVlC40ZgFl+RsnoQZY/TKNlI10c3ky076
h6YptrVJHwAMArqyC8yynk6DgoXiaqQ9SP+TyDVD+Guma/eibkDZQQiqEjqnaCPHbUJOwK5OmT2h
r2H/VPZJM91S+DPHTFskHcVN3KteHMM/7Ri6AaDUn90ufmZifyqqlFRShEtLGjrjwm9gSph+72z/
vel92/Q+9GjPA5A1rrEvUfPldxsfD3638ekObBmhmjZa6blb8OfGZ8x7GHOD2QYGuok94Ue5bv/h
6kS8oYX/81E/ynVE0sS7mQio/zUbH2U626s5P6n4auV+t0mYqao6sV9P56l9qBzEpz8Oc3+5EfHW
f9mGEGE7wHEFOwUv8ctxgJmdVcrS0M6NVBa1ingN4IL50vff7sS/fJ2ft/DvYu93r8OJ6f12V6DB
wQFtameTtUGrj4P98vEOPgvTP3wnv4yLAq3K9Y6D71mX9qIXd7b7huMVnS3Gkn6Fd3DZ9E9lt+2i
yxYdrxa90v8Igku9uGpzfOGEEVVorAMMw0gGBeEeN0MWehId7sdXOh8BP7xSbqz3nwVSU78d6vmz
MFZ0RgiGfuj6aFlo4jzAEkWfvohGMip1UkETpLHR8uMLmPNj/+4CNA2FIa4WIl30X0xbOebCtlft
8UyZHWnYBuv0mKBCapfj1y3SxZsP29chJEQ2C7MbrrV0sGhOFFiuVWVa1kRyLfQS08q6DdT9wAC7
3qTZo54Z+8FXEYnoSqzdSSOLN0bikhDhO+0ij+NVbdW7kmEP0NO11o5MQMZNOJ17K1plAUhpHD6k
QmxqVI+Zfgncj7iUx4YVP2husa+fjDYlv8Dyetxl+gCO2TTJ9kppV5VeYt6ShlF5Flq8CTNMNGrL
DqCurc4ixe1YPTYx+gsFpsqQH7RWXJFmHcts00MWu8tMYjiMyVgV7m0r5t3M5EjLPmxGgYAJVzme
6mRiVSTpE97BRZbhs3NNv/ESaomPvyHjV6ARFe/7H/4cDvz+FkG31sStbKazujG2/m46tg/GBnTt
uVlox3bL4XVFCMVyXBvLPYendeHJJ2WXrNuNurFO0To+fXxBP89i//7nS7/1/fWINO0A63DLFsmu
YHg3eDVwgHWlfust/eUy8bs78/1yNC9X7xY8xKJTGjLBOSNKTm/lSxUgiVwK3aN1+PE70n7+iL+9
pfc/gl+7t/xiasON9HNIjXEJRrmTkCgWQ0MHcBmcMV19/IK/WwGxKNMydlwa2l8dcu/eWmZl0rZT
Qz8PmN7z6XOvXH78Ar9bAN+/wC+fHXNSGqeBrp+b3uuIhgP4w0j1H7yLf/Qiv6yyrnStaUQecHb7
w1TtW+tWtz59/D5+tyW9fx+/LI8jezWOWVM/k1SFlnVgunrtxhcuJvuvL/Svliueoi910RRv7f+c
n/lLUY51FITt//r5j823PwevxUxY++kPq68ajKvutR6vX5su5aHffhDz//yv/uN3JcftWMJse37J
ohyNQltHX1qdauZXlQdfy8c9gX3xXHVR/vuH/lkcqURWwEHFsjnLDGcFxp/FkfYH4eS0A+DV0AJT
qZt+FEfOHwY1GqYYIDc6Okd+WH8rjoSjfX+yrx7VH5/E5bfjPh/iXy4Vxlf2309tAYosl54FckVj
DiP9ZRuzHTWTUoz1eVRwaJYLvdPYlvLciQGGhPk5EiyFIXJxy6w39PTNq4rwPGYi6rXhi+uk7l4L
lZallCEg+/4Q2tq6N7oj1pCl0oO+zrWjk2vepBMv2gtJhqhxVFMU+EaXXWDEXfuBfWxCZV2MyhUy
rzt7zB9Mul6OX9E/c/BiMQcZcyLGCy8kQHdhhcbOdMJ78HRL8q2uxiS96AhcgGh/gWAZLYYlGXlO
zCg01MvBnQkbXOEdrdJ6+OxG7cl3WeVr45MR0Bht233uW+vWcA+9qC78MLxw0XUjx1oGYXnRgRg2
CoInpP5gC3MbAox3ERMqCa4wLb6gKlshQfaqZvJCtX9yo+YyDLtTMIzLvnA2AnIzyPyLWi9XifvW
kAEwuy06IPzdfnKdZ38Adm6JBw45O4WE9N5siLqZNkoce1k5LayyvhmbEciHjM6BaW8TmyyG2Loz
m2w7jc115rSfc12iiMsvcMUee2t2PXX7rB63XQV1JiCsOy6JvoLL77s7IxDXdojfx1HKbWvnOYlX
wynpAJprI5NpP3k2CoHTyFqGYBQWbFvnTmmPgZ55U9Dv6gmctq1cx67caap/L7IRkY+xsvJIW1RQ
xP2ZVx/6arWch9CRkw5ra0B5n46d7xWR9Wz3aILQ4m+c0kR8KEtUCXRgs0F+xnDhBou6pjG+akZ3
oA/dOHW8xXkc7toCGspZTJMk+ATAu7Hpa3StLtZAr58VlLOUsqi6dJ77XCdFW+5zC/NTM0svNRwn
J2lOvdePGrwSSRgVXXKdoM0pvtY1Hbcyp1WkGds4J38VdpKz4i1Ny1xHQK7NEtC4JBatnWWh3SwQ
JQXEBP0/3kRirDxSG6ESGIRZTbO0lDIKeETQ3Dl1q64Si4ItRomKrwnEZ/w2zBJVV9FvFTSrBb4Z
tITnSTfXAk1r1SQDLWF0LAhe4cOcnLh9UBByxKd6Fsbyf5HIlrTmDVSz0ayeLcgqm+W0Zd9w7p4l
tggIwPmX4nNArspCnYW4ZYOdEmMkJ2usWLaMaWCgoOxFl+FTQsqb6M4rmMFP+ajfmWh9uf4QTaTa
LLH2pZ5RIqwIZ3GwmcfYEhJK7b7UgDLUnuFE5x5FMbiXeyHHt85W9zGKYxK1SAtTcDigRcZZtnKz
tLqgD16ts1mwrM/S5QINc16GARympFnpYW8A7sNSNmj544BD22uq7EUpHIA+cpgZ/EG+jhO585V0
E6soN9ypf5oK+D7wy8+Ran8Oe/lZip5elsy4b20LMSs6CTtMsccwQtEroijKFKWMoW/8Qn9sSRpY
sExhJQPuFHQNRXT0OAYGT66IL5FfZZ7lIpDu2s9KV3uNjrtb+ipBP/6DgVx1OYJ4mvQO2TesexTZ
+lK0OD+murwN0UV5ajyOxInxvUvffzRmrKVf+jb3l7GGCEbWMm7c1RQlI9wjfpY1keJcnvEGR1Fu
ej+Yo30pyZNowMJf7QiVsLi2fl86zVlmEREJU4fp1tgNoUrYaH+fq+qesHtCUhQAJJGCf6lT5TEJ
1ZshaA9mHt7i/CMELCbkpI77hSMGw7OkcoxgKuHPT+7qUJAggJLLS+2S5LQwTPJ1PTRBCMpz9gYS
Kkx+XR/uBMrlMO3FIlcdZUMGDg3VHE9N3mTFWnY6MdEjsyhiym1NpldRwXnt/0oxsnktZmxr83Px
8f90LUL99nEtcuyi5j/On6Om/F2zhof/qEdgzaJVNSG8ghrB8ECJ/a4eMZhcUHm4KpTa91MKWLMu
jwELazjMZV0e9aMeEX8QvMXDqFS+T2R/KUA+Kkh+LvCZHWBhJ6LUFTrPh+LrlwNFrSOPZsoQnCHz
Lxr9EInvAJS/LHlgnv98cgcb7xg4QeCt0JuGWfRLbZxpheqW6SgviM7ZMZR015LkgnptZ/IkDWkN
np2PzYb7l2QIuuOI+FuHMDnysXBEtq51smvbbXY5yNxTVytOtaTtbVUny1JUuRKIbgNPLTWkqiQH
43Ed1BKTQEZcJuXKRqJG2dTEiawGzdI2/L7Y6YqBQ75VwpjprcsYnsWmhBrndaBFNxF4MSIE6iJW
NnkG/vwmr6fwLUNcsja+wfsdsKAr4BAz1N9N+dNKKwWi2VBkqnHTfk0BYL+trlrJVUTVhCNRMxeK
DB+NUjuEMgTmlrICJaTwGH21QZp7HDpLW9itctGF/b2ZGLeV29zURLIEeX9vYbairVIVYI3EsarF
KhDVkegbOERBQlIS4L5AWgfsd8SbZg4e4mKD30AlOyvCSjHukfc9lXFMLFBqk6hVVOeaLNYt+/yx
k+rn0EqA9paGvRQ+Li8n1V7DtABD7LqrEYHqAn4gecsC62crpbnJDX86VGN56PFwySzZtsSnbrLU
rL3ImODrlVAUo1PGyHTlG0RpUdxtpqne+XV0HZKnuolzE8uuklDg0NsKGm2XN7Je1WF2U9TtITTk
gGxXtb6MPR65sQ6GJValtSy5VaUWMXlAvEMR5mW9v5NldRoE4W1azKaUME2GE4P3MYjN2ViIDV8K
oLc5qc257+pe5gsGvWN7qrA54rWpd8S7jJsiVV+F1b1AVXJIMbQywAIZ0uYQMulVmTsZykYRmfTx
Ed3ZmrJ3EQJsMK58SZRwN1m4cDT7rmUKnYagUx0isv3EmWkPR4LRr/qcFGpMHSROrhooEJkFT5GQ
po0ztLpXGXzweAG3jdo/aHOKd2kGHly4T4iuToVKgE5Uyz0d1suJJ+01NJlkd09C24BsedYbIJSK
3GGbORq+snXte+l/KpxpT1KMszbjYFXbJj56DYmx/Awcl7m30yIWTo6mPl4GfqwtDT2xFtAHn9JA
fzKQzsOW0Y6uyAM8f+cq3I6ZgCUwMVEzp2pth8qtI5s7kfQwIWlImCH23B4ZN8HHqHt6ksRov3Am
A5HVa/elEt46TnanlMViyof1XCvrttxXrrKXUp0WTWztkTxsUitla7UbD/81iuJOtNdiiPe8v4MZ
q5/Y7TG7GjR+ScEL17pRxhcwIZOtVDL9qRgc+7FxCiB9chz9u6z1k2vp2w3HplRbCTJ+ybBvoc4q
cwJT2gbLsCUerNIV1Rv4WRz70owuOjGhk0/r3m+WXWnNvzDw4AXWpbkkrHzn82SRfBLiilaoTlZ9
Y3GcKf2Vn4JFboXbcDMbBDIR7HvAqB/g+zGvW5VBpFENlRf0pbPQtPhANs9NViagA4YCanHZEArv
ikfLIo7N6r2qwwZsyybfO5xsTn6J+lxO7PSJVXwWAcZUqxpDfnJo3YV5qwZlwuc4JptgDI5xpk3E
gvpX5KF87qS7jP3Yc2K9Yqip3hAj/2QY5SdSjNHUxds+bt/sejinJl3MwA8peIf0SY87iBr2J46M
C+AKRPZqaDD8Iab/3OTOIkam3fimN45wOmARxJX+klmt5MxhenHeP/WGT7ZVS1odmHMM0euy5mtO
Bhis9oOWN/dmxyFUKwARyvhGpuMxd4dtWzFUVYb4IQjHXTTwE5Xy1PvZJshod6updd220xlr1ZMM
zYsiFktH9ADN66U2kP1iEyXZC043UiW6QiDGt5JPUxU1eO6sDa1SwC0pR9XWiYj3lShsyCddxqZ1
A7OMTzDFLRDk9m3VR/vWIMi1idQndgJObLQTlSi/pCBst0UcPJhjhSBcrbdmZqxYbjyqfPLgePdZ
aB8JIiQnOdjDZHhyyx4mUrEsneRsmM4WCfOigc8G3Tp5VhzFg3Wy7UjIW1Sd/6y2yZ7P2osmmS8Y
7+xFN141pcplimYfqwrjQOuTj2C454Qv2v7GJ9cQe8q0xudYLDKY0KqQb74Kn21ENaxCV1/oU3Ry
zXRT+dVtljNFTvJi2wd9BW09G48a+bCxrpNNF32yfLgaNQcDEO3tOs9UbVEIMVzitAkXDiGDq8Sp
H3NicdeK6pxVF7TlkFfVTN0ET4mzfG1a1heAKhlGtEB5HErmqjEigtWoonA0RJS+gJfGrW5kIXmz
o34awsZ/e1effe/DfEh8cyGFMc6lCsF0qv1K8tISU8uy3Fcu4piQs/vE/SzMzf/ZS8yV1rtW6chd
bCX42i7UOaOaE3x5lvE/6Jb+0mWcA3h4GxYuIyQqmKB+6WjrejfC9oyCszqwy9tM2AiFugWm8/Fb
+UVY8vVlTIpWpif4e2mX/fxWgiIeDTvpg3OHh6Di3NmQMqBUd51AV0JGW8PBx/wWlPKv7mv+/3eU
EHxJHxwlwuemff77jub8qB8nCHzWxgzFokNtknRvcVf8eYIwwHYz7cVj/SOt4ntHU2h/YLM2KXIs
es/fSFrfTxBC/QOjCVZS6NzfsXv/xAnC/Pu5D4EZXISGFokOKuecn28XfX7xMq1S+Nk2pCjBSV4T
wz0lLSzhSjmXIRtew5qTpLpc1CMA2zGAcQyUjS6S81p083Lk3iKhILxMY2Y1Gm65aAh3pU+zddJu
bbU+YAZtC+dolcG1Zk5ASLuhPTVmu7Qi5AsG63cjq+fQjk9j273acbgaaJK1SkChoJWnSoovSPPZ
E11AT01BMkaUddu4rLe16x4aqqOCbtBEPB1W1HChmT1JbsWdjZRq0MOOAlREjP3055SRM8epR7qP
5tr2/W5Z4sHe1FpKYAON0oWwmj0dVULI/fLQ6lRiRrxKwvjG7+lT4ckZVn0pwYAJzlxOuR6sTCVP
VKgHw6aNOzkD1I9cyxdKZp9dI33RI2rnUWc+EgWJQVHs39Zp8ZaWnfTUfFA48senBHKJF6GLXBFk
nIIXsZkyymLE3+2swA7uQ7Ol3h7Su9asFcSLuQcT6yoEELzIHXePgp4Wldme3Fy/rcJuA/TzCv2U
surmMoiVhx6D86Ypc1mu51cyzLOFcNynONaux6ZUmPwWNvp3IyOm2LidsugJRo83pDj9sPOwQUbE
u2JWiiv1bc4R3saTxNATdeMqbCyE+L5x1bXhQxhz/QEMZ9rec2A4OXGAyGCS54bAukUHPE5o3abe
EMC6jpoI3qJmLQlTXEQqw9/Rd3NoZuEjPvlrWYMKL5wSEY5BbFxgJ4sqb4HJjC5evpjHpUbrenCj
xIY0lnNROFQiPt97A/5Zk9VCzconrYuObRwd64jsPyXQOF5YNP+EnqNhbUh7xo/eErNQkuFRwB1x
ydE07V2q0H0JmuhCjYunKq7AD6WcHAju9aQAxTFwoUOPGU9L+22lqZe6DkvHHGYBLeLfoNs1eXnX
Kf2maHKsP8UanybJxlkEH6DpXWhKA1aNNFQ9R+0fKW5em55BQCw3Q1SO1F4wv3ILFM3IuxrtywJp
2zJx+xsnSdcQXarpou1PvhKtR9XdBTI/a2Z+qff+lgrwrHTU//2cuo34GqNUvUQpNXn6BPDWIvCO
GxTqjaWEPjXxDJDjSfPMLJdwIzJqUUROmdq/hYlMPJkZ9gyd56eaNJ8lDbChcOiTy25XKFW8nJG9
Gy03d6FG2TThX6uxNhnRwslduaHuD1amNGDs2CHwLsVByMYpI4BLty/8JKa3KV46k9KyA2BWGP0j
HpQv+FDjVdFg+QqM4XLs4hnEYtE5bK12xXLUG0sqT2IQSSZsD6w9OCKdkvmArGgm51m7M3PEWWuD
8t+8g2nuOJsQnMOmE3SVg6HKtYW0ZT3hoYe0v3JyRYA26BGzb5kqjSQWG+AALnDcjd2Nq2ZaezO4
tWIcOtmBbTPxdT7Wk9D7c9KW2yJotWUZo4orRCLWUUSOZaVOz1odXDeYa5dtIvdC5N26Vmq6+Yp1
MG2J05a206JLrS9VUTQcfi3cZ7F4TBTLWYY9p2BNnay9UXAzJ7mDPAMbNVt48an0xTN2V91rHVQG
xlS90VTvlwbm14XIB05xRAiBIcKaPybyNJaNJyM3XielchJ5faX43SFzik99NGAdNNDH0fFsNLoO
QWkS0G3IPaW7qQ4U9nb5HBFdas2G6FY3IUqjbVpg/rlR9fjCb8gNjcenNNTfJk3lWQLzLekzWqqR
p0x7fZSxJ0yO00F9nUiWHjVUOc6RK3tIQ/ukAiDyXFk8g0fbhRjxSJ+V1rLCKgfFLruw7GTycPoH
K1VRrmjV6d5A/jfixu40QddzTUhGfArl1s6Jh2w4bW8M0bO2Q7Sw3cgmkZQSmxrytk28yQwe9Brp
viNiEkyUhCNV4g68+EweStytMbkMBGCSeAYTseVAaMw5k+WwAkhxLB1wGHQn6L5r9jka8lOX2hA9
wOa7dDCarNkGXftsuQPwvD65GekUrXAjpSvfZQPBq3nnd13jdQO0x7TYx0rCNXbTY1e54ZpfHYy3
FkQB5g2Yj0X72rjuHQv0WgW5l2Rhu9ADY2vExR1Hm40S2XIJ7H5XDQaYpfLaNYvPERsdDQ71Qqg0
CEx+d30ufAaSWr001Zrc854toR2CBSb4mPZIsnOBQtJ1ypexo1ebxoyGZSSacxJ1l1Qi61xv7/uM
0UVShXBadG7ATshVooIHhxhT4SUgWlWBcba0+7jwrKTfEAirbSyUvruWD3SJB+SskrxD6dvuuxyk
XmW5e7uRdykeYbpUbIIsWWslmoKNMmgk17rWEngdAy5+aYdA0y8tDeah0jBBbXM12016aiygaxI6
a1Q+kEljJ0R0SZTWvaIWHGpytKoscixw5rCdMp2fhOlc6ngZGFgxY7AK+QWJ0QOBj9A27C+TML5I
S12XjfVYJMEjnArLa0n98LPyUS2crSHqmwExqxErNFtIuVLT8KDXw3OAa6Sz9Vc3wYbSRVeTRmSc
26o3uZgXcbCdrPXhvzv438JtBFXoB2U3kSjP/7HEYfKb0nvWJlCV/+f/ULBPohigL46YknTVr7jX
P0tvnaqcuhc3pUORbfOoH2ICm/qaqtt1SRukdz+Tan80760/EPGY+lwtq0SQav+UmxPtCKX1L2oC
hJ6coA3Oa/Ol/Fx6EwFXwJR35iS3qIA9TVx2rcPDSWX+ENWGs6LPrnF8A1GTEuVFbEm7q0ztrS9U
NPtZNuwJLDYWMD9jr1W7bVCwy/J5APpBlF/kHVwClp3Yjj8PPlhO0oAZQOa4m9M5CtyeQ8GVcnQv
wyq7M+fQcBYRIr5oWo8JU+qgLSjLHsi8vs1Qh5ztmVkAJW+gBIJjoNLG3WegDXxBIk3iuldOAlOU
2dUrUIluHejKcJtX7hYLyCEu5bhWZb5SGnldaRCfijKlwqouelYCuuEbU23iZW+SaWLXN2HD6K4e
i1Nj2mRjt8YmIVd26QfNl5EhM46FoF/ZgEWXRuRvgqi6ASazDiXTN5c44aauo12f2p80LbTZ14aL
PiAo2ZmCnU+m8rKTRDQXEWlXSRd6aT1jlqZrP9DGralofDRd1B/SiNIuM4ML8jn2rpPMvAW8q63y
Escp88GKrlFQRJthAnBb+TZdyT4R6NoV8oDg5ncpltUgR7tBXcDhinZba1wzFL8umhfdKd5snq4b
+ciiqkyWodY8h3Ak4CXBgRB2C8bAmImOscbcGrJG2iMlTEW0hBW4dQr3mpELtMtM43QUy5VaaeUq
MovG07mHNyC4b8UEkS7pXc9RzDsSNN191ccoIqh9rcq/UGfVPGE1a3LLD03RXhL15bWpuiFjfF1g
EvU0M3pwRSM2ObYPkghQp7pptZ4ivF3V+MgYfS3y/pMYRsLLjf66bxSU+tPwyivLlTTS196utDOg
KxSQ2ngZSwfsVBKeXNy2x96oP2u1TxlRazpDZNwlIYemVWXjoF2NeVOt1Gltzm4Upq3lRdAr9r6c
vSryq23F/mphMUoUnIyvXhDyD/veNEjPtikv5XZ2rI6mAfjKr59cAahAjDlmk5KXYFCPIGBbDyPd
YZOP2IFop2ThdGeUBWBoHbmMUdo3TmUdWm18TcMq8ehEXad+GBysqWdL74nZQ1zikjSdWDT/8yZ8
iafSRXlhvyC9CxYklkNO7AnELbTmqq0KPuL65GP58OjTlpBUaxhZSEmqhJEQrHPucAcmixx5hCRo
KR+CcR1rPqdF/zKtx84TWauiHOhIpulQKfpTeqj0XF1NqlVReHD21HoYY/l+iHUcx77+FJfMuS2r
bY+hUNSTgRD4VVX95LZQRblNe4e+sJaG9P6+Lsr/bgqJj7VuBbfz75pCPOrPnYntR6B/IsnC/J7K
9ufOZOC+BYdOt/NHqsKPnYnANshEjHttjdwF9oy/7Uxw+UhY47lArzN2tv6p8BjOMj/tTF+Vqu7c
l0I+z/TX1n9pVSZ5mZaJGqtnWrIMaEwIkVhcrO5LHXerXiREEc4xRKjKKRg1995vCYH357Ai07Q/
t1l6Y88xRiCdvK5tCTYi4ahT1F1D4hEQoAA5N4NiojY9f05GSgzt0zBnJTU6qUlZVe2qHk3IFJ2N
VtllxCshhgAfTt4SvpZq2Y/Ux3bjbHNCmaZB8WxCmtrBKsiCnC4RD0G1joZr5OUIzCCnm0mO7g3k
dEHokzKnP/lzDhQIQaYkFkTLx5SkqCFAYhKb8XUzh0jVVUPWknnIVOKlYuBs4xw4pZbiHM4RVCpZ
VJNZsnt1B6fxX0p3OEQIU/U5vErMMVZB7jPTpF5lH3ziN7fCBKU9s6fNhD/Hm5r6PiIVK6DXtSA1
p1qSnn0nSc7qZrttAXsuSZzTOIdrabwHn7StaCqfmzl+q/eBoIOcypahXjHNhQnuz3FdNcO5kYMI
/sVPjHAYN5PsJZ1q036N+qKLvgDFunZIAat885zoxIKR6Lnt5qCwcXLvYwuoOglikAo36hwp1pAt
xuBAcIKQR4fUsYFx6QoW+mMUmgSSzdFklZvcV3NYGem3jybpZdAWAWbPeWbkmumaERzDhG00FKGX
k31Gb6ZdaqShNT7uuYZ8NJ2cNHUOTONs4O4HiwxM6AwveWDfBP646ZJBrrIi24+F/tWx90roxmGy
ciyK7QN/t80L6gXROw5tQEZEYdxe0lVLj67Mbq1joc0cfZt6n0qPyEo/5MDVvGVatY3temP1HFvw
EwRr/uNJ66pVWXQcUZO+X/RKc6P19YY4jScxahs3AJxQOiYtR/BfbVFA0sgzrBsh6J+GdOp2SpcT
bIdx1gwyD3CWyVSfSjclxzPzMZ+PxkYPikNiClhSGNsS+HUiGfZx2MbLsB4vamzSeNgOLfUeE/LI
Hr90QVE/hHk7kyZc5AFWkdvXeqk6+A6cOlOu1NKtrgk/4hSiyQh5prpmpG0tOt1/SwL56puuugwL
OrRqZe/tXN43Vv25TbpqURbFlR24GyVMrqC67xjwmkv6z14pQV4YNizqVK3XjtleaEYqeHNoA2z2
LEPG26KVYgX0fIC3Z0/LuG/wp0eZ16IJNazxWVoMxqX85PjOSnXHO75oJk+xQqStcsyrcBMmJCsw
67LmVL849YDUb+NsXCdOzugPNyfhBHujbB+0qmZWi1ZEz+S6zxw21yg+YidP6KuAB5b2ZqCLlZUZ
X8h9S+zQKDtg8sOyhyaEAQbMZm57Y9Z4YeQ+ZnHMkLAOmRUTakTrDV1LZiE/S/KtW6kXdBW/NBgK
VZhLo7RRowp3FvSdoE3uyDzBjaGrdJ6Gge/WZBqLzaepv3R1f6bI8ZpY3KpRQONkrI9TgmRDmPlK
JATuqfSYK6m5axCEN2bnv1ZECGClz3YtzA+0ov1WCzjUKxUuUSO7BOKLUJh5cRxRrxN1sgxFdxrs
/CAVZG9Zki5F4DylRrfA9bilgqRwVjeu3V3SLHtQ9XLnC7m2sN+skjhl/ZO5AiO5uDY6t11GU30W
arAYg3g7a+zKqL/wremWZhQT9fbK17t9XfUMqbEuSnf0pgmyu1WvDEXb0bDqPfKXJ1ZhY+2a7UHN
p7WTi37pUlVUpTqHSgCr1rtPBtLW5YB8e8dw8VKb9ZVBcKVNztF1xn45TbQxrWnYq1byv9k7r902
tjRt38pGn5dQORz0AMMoKsuSLNsnBSpVzrmufp6l4K1Ae9o/BQx/YHMOprttF8nFFb71vQnfRoq1
KPeInZECwcE1miV80TMtlhZRPJypjv2gYXKdJjmM0npelbZEww2jmA6rh6HOz2rLviKV258mBqTZ
PjEcwsvU+FukucPMy9uHsGpg8shf4yZdhXV25DuIQwFNvzTkZ6koQA1vQEyr5Cd+3y+KcLyKFBWC
Rxt9ZQeeV6lxXkouUZiy810yy+u+6A9Rb4F8NIlF6WhPa4XWANxGvzdOPVSjel2zjevDyi0oGemX
FzhTmVUVfW1jssRmCqjBQhrrDvtlex7LwQrMgISPLiHRN/PvdJjiM+I5yKkg6cIZx1OlBLCmXCAw
WVUWNDJDGLXFg4WlFfY10THILNslSuoZl53rLFTPskT9AlKDE2qmT3q/uiXGhbsjfRhpOK1MDB9U
9q/SwnsLfs9VP0hf8z67jAMMG7pUm+UxrGUbXXwbYVKhjzbq2hwX+yZszkta7HODi86+LjzcTLdN
8ARVMPR9Mlb4JSlNfYukcgVHOAnpRDUh2Wno899dnHH4UfTB0TBqv0gm34xFe1ZMx0kyddaXX6pj
yAPzbFrvB0fEVM/8/WzhHxCcHB77y38KXHQUgJFgyr9pv1Cy3ZcbWi/8q58FrkI6oq4IxF4YyAjp
5M8CVyEDETo4OYdwEZDC/t16cWjKqBDF6Yo4iin6Kz9bL8KTGtGHjOpCoTimYfMHqCd17JsCV8wg
kbAIZRLqJCWp/G4GtSoNzUJyhlPDdKqFLMXpvNLlKsLQESXFIZz1nsjf1pAoHt00P+665kLGvtew
IwTcJReqwJeNoz6lKY9PFlm8lX6gwxSdxoNWLVSldk6wC8j2sZbOz1W9JK1dr6VDrPaMJSXcN2dE
Pi4Z8m1a0M1X/PE8CeCluB2kPSlvaRp4MATsuJ2mWSsa8lY0DbKO27WNa1zDZXmaJup5pGEu3ybI
2BNcGuTSN/YlqycpUXOrlRI10HscMzWmQR590RX7vouKC5jEeI7CCy9lU1qFdNqJtI+pWmonP5Ub
alhVJSeXp7iUQ3BZO5AyiPB9Gs/czjlG4IktGLZ3vdeey9H4NWnyKycsDgO/+iHj7BzmCR927NQp
MpIj3cDqWtSUY27fjU5MgMAQFVNbbQ8Hi3hhHBqKqdQQY+rjYurA7498DWWBnS1cNlpLKo5TNf8W
BvStLC0nscBPynlnDDdjoJ4oQcl/oe8d+F48JdK8sM8qzZaGpdSII8bn/eDPtNMC+wNbgaCYZ0s4
awvILgQp1IeNOInL8X60bXYvqz1Me6Ocwlm1YfYMiHsa/P/xxEyI2UXS6XgUK52qX+dYVDaS5mEE
kM/bXoV0P9y7ljlXVSJ+VdcTzj3Q+r1sZkVQJWt9pMcn1/GxHSMzLQcTA5tCJlAkB8Ud13ZRIREG
8J5C3DSnJYEvAvtbtXTewzA7b+QEtzYzxzqUxA/Ie0ZMniykp2WjmDi4edcQV51JnVSHXlnHs1ai
NW/Th5/YFQ2UIPLqGXEX8r4Vp+yPSYX01aMeDQrnK65fZ0RrFpD5zUO3s8vZUFTYJRvBmkwZEVSb
ra0eVAbJdjCrJJdgjJrKt6ujaJ57OsYbEPm5E5Hr1OuIar3au7BcizlFC2tfTRLctbN+2qSIodx+
lLj6YTyp6fohJ9+5qfjfU0tzJ2mf2HMYYUeJqe4T7YcGynNO+5T4iVhSAcR9ZSXjKYnKB+cjo0Mb
EMb9aUY+H0AJvJYuuuUkug4T7SYfurNQB2JXvOSeTQpJEeUYIoET/EnlOVJjDEWqtD1yhupMy7W7
UMeOrsr9fS0ebrrQOenV9CIg9YsSYvweQ9zH88zwKIRDkq0EVFS75vcqK7ClIFeQevI+HGFhDaq7
HBtCwnFvMLEsEsWdF1xkvtexqIN4Tq74ddpl1+TuwTVq9TWxCz9SkxsHHsM19ThBU0FG2mBmfw1L
6VDx2gOoXTINV2Nu+vmBmxlIarKGbikZZqEjfceOammF2VFWJvGks6puQubot3pU8Q71NGe/zYnS
qxKE5R1t5klROfqpGmUQ1grhd/7Psfh4LBocVb8+Fi/LAAPs4eO5KP7Zz3NR3aNFQ3MAuxDVYQq/
Ohe1vUeG28t5+dz1gQoEhd+x6PmQxyBCF/4+FJ09/ncZf0kFZopMr+ZPDkU8Ed8fiijzHbpHqsP/
4+h+R4ID5u7NoqiSsxQ+vH5cqQ3k86EJOPhwG+lUB8S2bdEXWvlt0SY/xmz0l1xCLsgJYjVbN0OL
01neePulmyyKPCDbyjZitEnWiVwr7PIhYrMsR+/mZg5G/94A+Rdq7gQn3hNJciMhq6rhuGan1VDf
SSZR9obT3em5lM19gooah9tNZgeHvY4CX3PCYykvzko5M2aZr42oeCDc1vREoc2UKKDogJRNedMG
9WJMomGJweeN1BMw19XKhIbTvmXVJ+kYgaxH0CCMovtOkvtVXA/xNIyUC82ov3k05ZaEDdlLhRbY
qRcM2RweTI26KCrnyuCtLWvMgEzpFtjc5QME3pkA/QBhL9BUFBMCj897VT5IZONer5OlBl5Y6QQz
CQCxpMToQRRLp+ZvO/uJXH5rQByzHv5FKjBIsEgnvNG6bIYq9RY0+LZUq9NyDK4N4MtIh9ZOLxFE
0zDPyMAgeAiwM/EDcmhqRO2j1HiLIQouqkA7gWl+Mj5ipTJ6gEHgp0ZhJ6tQqYqJIdDVTtbPJINg
Qs4jnAgk8BO4EYehDx8sFPhs4WHhSyDY3Aa6NSvpQO3o9jiAunYGWUF2ktN80HEKiArsA/JUXYI0
Y+sGKlyKC1lOdvAysvxyFgr02Gzdfm4IRFmJ+VNrUHEm7r66gM4x4LMpN3hwpWhXJadYltBuelW1
J/i5cTvC1LsXKDYR9+ykANuEG5ABr0ruksLUnXZYg2PleuILPLyvyeQiRgJd2xmtvpUXcsk21RAu
MVYMtb7vKNB0o9G8qglCkhPvK5DIvSlQ+GhUweMFMt8KjJ5kjG8EakEhUdmMrfxaEnh+XHVXkkD4
+afARAL11wT8L6n4gasmgXFK9pBUOPoEWX7M/eU00tEH1kMPnQBeQYNx9rwXVAOrw7tUCksbBCjA
RxxGQleTYxhpZb+uXaITQG5cUD4oDFoUXjfRzIqDK2AmeKWC7MBam+mC/mDXVr1MKwSNRoc1c6+o
7lTDkHvIOxgg8NKTMNBmI5wKsCQfyKWAqg7fIkgpaQdBwQgeyRiwMlzYGVFfyGKuXejagTQ8RDI8
cglGR2ZVczL1wpnvW3MbL3Wq+AdZ8EByS38oR/m7A0EE2utJPgwXqmCOYIDkz80BDeiQEK/WVOtY
x5gkGFbYq0KUdkQwn2Ci9KhP7Uqn+hoe1Kr84UnNYZfV5zEkFuKxokWQ1rMReovmtP1UEYwXrObV
SdhgUdUIPkxZ1w+5lCSIWDsBrlrroCh/0ErnQCd4bqIKZg0WuIRVNIIAY0g2kX/6N3bdAiNdbCda
yDk1hE1MqNRgxoZ8WAkGj1c1MOvH9oAsrnaqQvMx/X5Nm4YOoWAA1UUVUx6B/lV6sW8mmEbROxa8
6ovaKOhKABzFPRASgltcvFOjZNFlLAnbPI5LWttZ755ksZbCuHD7qSV5F66rn2a5c+G4+r7WD/bU
hF/FFT8mXBGADEuaBYFP8Tckh8TjdFijEb4Dq08sbCO8xr+YYK62I93U6VBsq/5Nn2a0CfWA9Kv0
gA39y6BnsNkQus84AM5zvVUngWHMWoD0JcFp+LFUmg7gll26dnqATkafRkWMKL09Dww9xeUXcUFA
BW9lpTJPvZh/27YXhhna+2Pa3FRZCMuGHJQJlzCfrJICBc8oPTg6nElsHIOl7UjnRJvcmBpru4gt
m/qbsDccykg8IycFkrZDkysrvmErLHg/UHuSoTexlQPE8hGyzTL2bCNP5UUYyPUiFuIJhw5IzkTq
3HQx1B55kPzklEJU0Z2GYqDucTBzcAWcmqTfreB5UuzrQK4Ig1k0eLU0envlD9F5x5k4rUPktYEB
nwWXSTIi0TqhrrCI9goFxyUWlyxpRJesQ2mVMKpDuU4ap0zIiRQhR8eFBo3xnZEZZwQy3PfYClMs
hshG6mDSlRJTr0mPIJIXpFGQdGzL2BBb6b6sKKs6zkuwTLWBvy9n33D2ilfVWFxpKgs/TrVradBP
8fm864p44bjhFYe9fEhUKTIE21lVcNBpnF7igr6vSRSLGKn3CNdJiBz0bt8FQhWaPpJf6euCXLQz
1bJugz4jmQ4p3rTI8nExZPYXxU2KuWH4iFiROMzzHJPnNm7clVwOa1NiMtR+qy7AMS77FOqm7UoH
geetS9wUPfrT+JHlKNBpRaVWfpZF0NMzR/bmqO1uc7ICFki0v+sySuOwMM+4mn7NdHPp5nG/P3ra
Qyh3FnssvSpVLf253af+wrRQHtUmN3k5G5h+IRcFJRicCcKp72bVnjjESM7x5eMuILFr+wNXOBQw
HUTIcC2n6jF6YdCAwA2nRZsfBm3MUNflchgRkTeaqLzlaD/08BwNbKQVck1rrFDddJqRGzeHt33n
eyTAFrZXLlpFk6dZ0razTEamHEFnGyTzmu61MvE8/KaTQrr0y+4KEjNgb+BMsy4+airFmHgN1x+P
68VM1f2L2kRK78b1qkFqPU1k5woe4ZkXE5ChVXU3T3IJiTtkq6kGntZ7UkyAYLqSqJyE7bZM47W6
yb3krEey7TFaHCE41JlyNxW00w4igJSbD6YMPgZoPbMSwRxwogdLYP6QUm7boTx0OMkng2XcVq21
xGabpA1POXBTLcVRv9WnvRlde0mCDLsv1andmNNQSoDYbmTbO6Iw0GHcSdlEacKDXNhN5E0YnqgB
PvlIIuHURd89yaCz3oWXSgl1K2+kL1bimEQUZCvd6a57ai4cLUaoFHmWzota86aDASKTRAVfh1Cw
id2hrgSWObRB2217EBhYQWeg6x5M1QLVAWicw8NeyG3zLW9Zun6pnMdeymV60I41MyBtzwjLSRPl
F9AdDUz+kNRkfs8+XabHvV6i6Db1A8Wub0EqQAkDrNJ6roBJI1+NcXDQD/GlqsNx7xB9ZZZ80wqS
sE3/FEYYdhREbR/lVblI5d6eyAMOBA6iIGZteO8IL4jWhJzQp/djUh6MTooMshxXqpp+w0p5Vlvh
Vd7CF6mo8qyIrY88SfwxnM5C/xjwIRtrKfflg+lT0llZj2M6NV+LOjAA6GysdOW6sB6jdO3a0U1Y
N6e6XhwkpHnMPKAVXBo4KTXusYX1pfeVeW8kOEMW2UVfOfu57kAV5Nooh2c1ySaQcWASaqiv3HiO
TcIRTpcrYtymsSG3aNhDhdBAz1Kj8zgdzW8Dfhb2SSHRRT+PjRo11WCb8C9y6R9ByhMzTlzKfn0H
/YotT1OuN9xB+Wcvd1DF3jM1VSWxgLPiyWXwpTeL3B3LSuRJBgkIsm7S0X0hH+h7BNqokAJ055Fj
wOURsLT2//0vTdtTuZya5H4IA17Bs/uD3qzovL4hxTkWensF3MFSACVFK/q1EquXJa8ty7Q5Gbkc
FXRZPBphgZ08kVN+iSHgq/jxjaDy6TpHqKyqNC3fvpECB64wQz0nMdpwriK/kEwyB+Nh3IcxyDVC
q9NGX6HuGy+IMkHfYCrYzthkuudZiE8dUpRDxUoQNlil0Z+xeXzRhoz0dHPwrOqwjcJK+9H2hWlD
+inaFhoPLbOWjA/ATinGlCvG5DfI80yds+s3ULEkRLyToHJZ6dHgzAXtQp5V6a0R692JRSr9qd7A
Ap4qOSDYInN7jWi7ZiLFKOIxwu0y7VRuFSM6auPwtKyRpCY5ht2+c6Yp8r1R5XcpYbVuJV9aNKrS
Tlsakkk7FI0ERMAAKMldOAlM/WTlDni0aFFCu69UZvFQPPi2/4Vz80RR84dGay/IO8TkTi/D71YE
6czxouZYsvISOxbDPIgDB2A04SI0qpiPSZL2oIcV7CsXs420LvI5um+iBGLJmKudcNlzTqq0wrRF
tVuioEd1WafW1aBI32IVXkkW+iD8de2p1qTBPphpQRAwjf+AC4d4RK0CqJrlVanXWj8z7dT/UkEY
mzcWTV+nl3EOh+TBKCKFnFQRZ5culWgs4P0V2Jcf+BJWRa/W3gbdoioaJu/mstB24dGgsziY1m+n
WDGUhedhu3xCZtG6o+K8wDJ4Ai4KOpXuuyi5Z948WVrzcs4N7UBfaHN1353+rw5qwqPh788Bl5Wo
M6RdJK8Z2C9is//2cxg9PrdY02QnRH4fDDH+6JFXuCCLOldPK3LmReuiyFDNEi9IWz72rNI9UPiN
zKhADmQNJ45Lap+tjj/qPnMWlUp/p67zhWuPPyyDJLLQpZpzx/66iBFgqGVB9l4VarO+c2Gi+1wJ
DL+fowxbdgqUIRcjGR130dFw9kcN+raqLnW6U5OiLkW+BHSTJN2nApxlMK4neGbNu847UqEOguLD
2yRgETvEsJqxiE+63tGWhScAfc278kBd4HYfN70tQ5/Il3LERLOcgnJSDi9+/xO/3UQeWcIoOtHO
6Xi2mprzbhNxRrVz8sQtT+QW40k2gpgvjxG/FPhzIwt0LP09tuufO/qmWSXIV29+TahZr9/z3a8p
9a1VtpFXnRSe9h2f/WkPPQQ+kbWvJw0+vy63ZhPAycLy2IipLriVDUdjSSApPNCjLLC/yQG1AWTN
B5drKgaWx2pmnsvueGt4xY+kCwpseor8Hz/85zOZX/3nLygc9p7d8YRtzr//9R0Rx4YDmX/zciAL
njouMjZdQ4xm0GO8agrTL+ZwApK1+Mn5j38fyDaOwNjGWwIDV+R3bECNi4UJdY/rHKzAP+oLw35/
M+EEWGrLpk5zk30E8vt7iWhddmEaq2F/mtcuzBFCQS23vKxVwjxCkRc6Kml2GbRKfKrWSXJRiVxR
SVZgxIwuXq9YZgGaufWk0LUTQkLkeR3DDBis8F7DIGFaq+SW+kV74zQdmaMDoB8Nhf7M8bx8CmXN
mjqNm13qVXtcyg1sYWJRW4JoTkGsSCwXmakQZsDBDFWbey2JqpWiXCWo1PdjWDHLkN0B57SVRgyr
V5DH2uuYeJhsIaexSGulDPohySbXfdLuSOoKrgqR7eqLlNda5L1KIvVCYQhOA8V2F71cO/vQYwSr
QzVB3ASsIgAW8ryokNORqFTQlwxjbiLoQ9QfTXLUgNBEIDWdgGxqsBtHgDgGaI7c6KQRevJcBeeJ
wHvwwfvKaB5nAgiSBSSUCXAojfwfBmhRb9LxAVq+9oroWihj5jiBYXIPxlQLsAmODJ2QVCEG2SNu
V0BSkgkEJkCqPjUPTCzkJzWdGKxkQbJqgWn5LuajKTAXPzSeOGZ+kUnuiQ4QZo/BvoYjBt9Eu3OB
ytBEtkco6aDn1wQEFwBqqHsQJ7jjiZHxk9Z5PyNPD0BRu1G18noElJPcnF3c9w8i4DpT4HaWQPAU
geVJnboy4HhMY2J9EYU6p3SaQFATQY6BuycwwUyggwYwYe6N5zqwYSjwQ0kgia3AFJkf9HLtIrJP
tQEQ+EZwR4aVVVfRHPezQwlTHABclHgzLG7gB1rGvQRbD98umnrSAPGIM8J1QuNYbuMDPIpLxLTc
vNREOSJ+FAM8IcRzZYUT27CD5WBEeIjgtQjhndB4w2inrV3SqPOi20LNdbpGwYDV3NDMs9BZyDJE
HjMaGWTKu5U0VITZGFDeOhb4VGamEjP5JU7Tnpmtr3rbqbCLS+TL1HexMtRJhchS1NdGSJ3nmDT8
XS7uupyCy7j3Az3zgM7/KjKMy7J2CbBK6yn5ElPLck4AkuMVziJw4zpAWis2V5Jd6qdWzd2Y4qSe
kveLMU+pX7SRwONr40gOunzqIBiYypJxUMZNcKAM2WGhx8qqyAJ+pdpBefutUtxTqfMWHXT/hd4F
KMbLAO5RUpLnAHgDwDOzi/jGj42FneUsdZZJnls9A5v8yP3qoLe6fBVJlj2DWaSc+jBhZ24j+V/C
oPAOUh29Y2O7J21B3yB0QNcHB382srsJUITN6qLEHhRaWIRRRAfFMNpQHlV3Xy5qcu2rTF8OnuvM
ZKmoVnmRHno+LLjBa7QDJMsjXjWKtNSzAt8paBqm5JSLMRoOyDL4RsdYO1NDMp/Z/RAsB0AafpQf
SBpdvN5z52aYfy+s0Huo0mTm+CzjcysM78dwRB+YOhp49OOx8Q+fnlS8352fzc2mCy3/5tX5yfGp
o+aybBLy1NegqsJd1yRp2IJS/1bn5fAnHLYAqCp/xXqd2sfRKg5Vhz8SYYB/lnKPIdyH89PSLMXE
aIG7takIWtPrK21cY2nZZ718WkP8Qd1uLE14O4eq1OT0Y5X83BBMIYibcA4it1pkKJOmNYSiMjNQ
mAuOEbPPOCoF74gVAQOpM5ctlKTY7vPjcpSmeSvrgK23CsEcMGQ77BtxDx3NbuW49iKwcnlGaMSy
Eb7mqUMAvdXpV11a7uuBn15yS8FYNM9viXs7zGDzlIouSC/ot02vuI0HJ5plFe3couv2+7zvadhn
fnoua4CioQ5gqMEbQQ8/rzvZnSad5CJDKRvMyoqzwa3XVuPduomNY9CAVMUjtWuFMDyZkEL8pSb8
9sxBAjRJTDKwYq2ETjtY1szF53XqSbTOUnc4Q9sFecfR7qrAPMeB7MSuA9pkfvQtULXLOnPymRSq
93lk9Fjce1clCreAVd8gcJ9QDOzDurxjH04noe/vRw4ODnJ4XOGglKTeYTg6lwrSLGyxBGasype5
FaqTkR+h9uHzxC4NXrUmjqupSIG3qm92hwNXlUOHLAzU8Lp8Zse6MvPd4DxwaGRLSYccaRhwL8LX
8UEuOenN9ITz9LAdMm+lhdWXxoT/3tMpw/WSrqllQiMxY4nDMZ5ZYFoi9qXB38FRLRBWMhMjdF9k
5AZpZZ86aj4sYyJ3Jq2JjxxCu2OvKu/VArqYM1reuSQQsDEwbh1kyCfFoD7EmQH7ozQzeeaHqnMS
+6VHPFkJ7yzCq6w2kmiRxml+4GHXC8sKLDO2Tztw9KlpOlwrBhDMSNcQiWcHTame5FlOtok2cjMP
uKcpTQav1ZCWYU83mMb8DzP3v0ZR1CDmdKaEM6fc77GlqkiGZBcPM6C98asVIO5ws5sECVZDvtwB
0OS5YucPug8F1++XDaEz05Tb/VSuS21lxsUqN5ODvjbmuqedDkp0StiiSP2iVyxn4bXcuVdGQhpu
HZFF5kvWVVl7Bh9bPXJz+hGSDZxaFIkw+JS/JEN9IHN4FVH4JQi8udnE3zu5vCFZPsMrDqOTAeDA
LqNmVgrHhkxOwWMYXEOXDtpY05emzIW4cYaIhrh1hBLvlruyNqvq4TrX1GbSKvkir0ZEmfVYzIa+
XUXuKKOpkE+6uLvxBaPNFNy21AyKSQbdTYN06FAJm9DgQsGHsyHG1TKea6UAXQVnrhfsuShsDnvB
pxsEsy4djLtayDcKvFoSyHeFSyM+EHw8LKaXZLX9sCHqUVRfKRD3FKk65/NRvEHpc6D2lYLjxwee
eWPbzRzof7bgATaj/KVytB+DYAh6uh+TzARrUIoGaZUJJmEK2tVCLdQb6d6HamgLzmGeANshgYCJ
6ApO4ijYiYmlz0sXX91QMBcTKIyhDNZsQ/6cFko1TqQMpmMiOI+DYD+q0CDhW8OhEsxIFzoftMP+
PFRlVEWGfIsPTTj9/+WcfS4FNpq0//QFFX96loFqX2YfnNz/o7/00pzd/KDnu+t/5vouhGFvbr6P
H+zRd/63z4nXoI/NHbdj6E26I2MQpJj4Y/HicIyz1Hv+Y0Tc8p5BE43kyKf3ejVGvxqF33/BLx8M
8T8+57cf/r31vfL++v/Hg6A5e1B3EJUTufP44pr/dhBUKhJDwafpqVTavUGQt54Jmr0HKVwFY4DS
Jl4fBkHeo8QjM0jf1UEQnZvtloNGzpOtArKwKB5ftIzfzgR5T0MniJ3Yri4H0eXebhCwOKNbbsGb
eN4T6Lq+HQSWA/FZIDdP7/V/vBxed/cMwwGx+uPvzxf8uSUyB9jvKKiUX8wBUDooUuBjNAwfX49v
+H88CKzWDxvj/8tIiFX/eihwy2YicIN7fHG1ez8TDA1Aw3L4E0Z99wZBsGz/eDq8HQTiTUT7F7Dy
/bdnoeApx6nxNFN2YjVsmAgf7Fz+/IQ0oTqjKEIT9MuJwABBghYFxE5OBHHt324isC/qCi1/vOif
XhwBb1cDJ6TwB2A97OQgCG/SbQeB3RFmgg1K8bwlbDgcSOxlwTARd3Mi0B/aeiKITpcO6eL9DND3
4CFoGKAB94rXjo6BENxtNwaUiwDrjkOs/NM33XA00CvAX0PZ1aNB/HpbDwKpoCpCS5BI8fqwI6i4
WYlayd7V1SC6pVsPAsgkjVUuiY+v9zOBegn+A3Ze1hN5ageLhKdf54m99PNe/if3aK6QBnJbfulf
DIIAmakqiVXf1SpBfvp1thsEVVwQmQpPy4FhfXtAEjqPKYZJ339HN0Zj6+VAlYCzHTbj6vPtgDPg
/SAwURTmwlMdsbPzYevtkeaSJahXqjgoxOtDraDvwfzTqBV2dXtUniq5bRaFvsdcUDVocE+D8GF7
tPdU2B24Sj01XnZ2Pmw/FLgIoLqEB/I0EqI8ers0uFA5DpjfY1AxoUo7ukvITyXNNrPCpMeiQAhU
frFLiEOTbCkMNHd1qxR0y60rB1w5KaWft4cP+wODgJqQxC6RNsp77WDl8PTBtpkJVA4wzBQCNt6v
BpWOLFH1mrGzu+PTAt3m26useAIVaL8/lQzvK2jF2DNYJgZn6uNf2NUtQdm+hMTeVlaZC9ZzCfl+
d0Q4wGZholrf1RuVsNDdcktgPuAtZDAn3q0GxeJqrdkQQ57P0R3dEZ5xsm3WhLGn4bbDVeJpyotj
8M0xybYo7t5QbZ6O5N3bFvWty2hNh3kri87yrw9IxHwU0lwnHl+7Oh+2PybNPX5p2gwvFeSHjQFA
gj/jarmr8+G5B7TNoqADLfw5wKWeDor3iwKgWjZpOAHK7OhMeL7kbDMIFknrmKn/rJjeb5IMgvD2
4iqh7/RpqW6/P1h8U53ZQEDSy1d9v0nicWahY5N3en/4wL78c3DG2QOKpESiTn58fWi70HuCumDr
IrptJ8vo56bYNktDDAI/NEY9m+eDikwSpRAWPru6SX7wtf7zmWDviYg7WtLPM+F9Na0+lldQYQWW
uZMzQdu+jrYR0dKRxhnvaeHze7/ZGWjFIqLl/6ixxGtXrxTCtXHLatrcM60nYfDTovgwH+BnGyb7
ws6iddrTat1mZ4DTw41CF16Tj68Ng6A6VFeO81Ra7Ox82H4o6KfgsoBp63MRtWEoMLnSATGemr+7
d7NQt2+44OOPhJMu4zO/Z9MgWKIhoT7tHztbT27fhdTovjAQtvkL1IpLN2GXkDp2dpMUgZpbbpLY
+CFAoSv9fNP8cF7IwjEXjuxze2P3FoX2tGVts0lqEB9lki+eWw4few5cPYRWR7F2dTk801K3GQSQ
GIPlIJw0Hl8f7pjglzhzIAfe1e1RpBpvuRxoQxoMA3ftn9vfh/JJRhMMgrmrNeTTB9tmJligL8LR
E/Dh6fW+hhTCcBmbFG1Xl4O2fd8JMhNoPR3X5+Xw/qDkdIArTaryro7BByP1P79Rca3ErAda/PPh
8KHjQgUtNo3drZieuRZbrAaB42vCEuiF88fv/XZLUBFzAtPQgNvVLWH7WsmAyoU3JqXALw4H2J+c
njB8dnU5PO9VW8wE2J+0DtDRvhwOH2olCG9kCnC73tVb1PMH224QBF0D2vfz4bBhT+DgULhG7Sp2
/4wobzMIgBIajmQwvjcvB4HdO2IYnlU5u1c161vXSnC9IDWCSuLl9vj60HklaM7mEGXj2NGN8YOh
3Z8fkZC4bOoE+VdM4MeZwHXafKbN7OBM2L5WgsWBzwG876ee4kcmsLzHHwJocnsQr53dHrc/KC3Q
SOIQDfNXakoFFqigvGGMtJtNaBEVvOUtCpNHMm4E9ft9rUQxZUH2Qyfwn3/7/2DJ/NQeT/0gvnuU
Jgf31SOH+Uly+7/+hRfd7scHvJKWPQrs3vxNIVV+evaTAE389/9a35FIPAuqugxua/WRuPXqT1+I
XI/v9Pzvn7/ixzd/82Yv3+vlf9wP7st1eYsRQYqkeXj+oE/OX/8dYwB2t34vjBOtrpf/bbPM+udP
//unE6Bw//Kg1d2//wXwhI+zINT//VX//a+3I/FqXv324cn6LitfHvTq4cyZrR8+EQFSL8959WwO
r62fPV3H65afpHp51qvnc9xu/3zMeasPPymjzg7+CQ9P65Jk86yqN70FK3nrt5jdx3+dZOXG8adE
2Pr58/ivWVYyeV6e9Wr8qdW3fv6ivK/STQ9nK9/64cv4Pk1fnvPqg3/Gct1vkpssvqs/Pl75jAW7
SvL7MljHGx7/GUt2hd/+hkd/xoo9vC83jLlgsW39ex4GqbdhI1A+Y60eraMNe5ggS2/9sY/WVXW/
aUw+Y4EeZdVf/5169/H9ppH5jCV6vL5jA34Zh7+XkeBgbT02x2till6e8+rZn7FExbPzbNPuLuhC
23/0+/Quuw027V6CfvIJzy9v7+9eHvT32Aja1/YPz/jsL8959ezPWKbHJKZvePRnrFIeTVbl/bDh
8Z+xUk/W+YaJLu7aWw/4yX27/lg7GqSdfsLDT8s1W8DLg179nJ+xRM/i9e39htpRtCW3HpazuEk2
FXcCht364V8CSscquNswMgLh3Pr5F+vbkitBWm+Y7oJ39AlvkP41uSeGbtMbfMZSvViLNyjTdXm3
cSMToM+nfItZcO9t+hKfsWrFl1iwAm6D6nbTe3zG8hXvcZCti2bTaSU4RZ8ySkdNUP11ehNU+abv
8RmLWXyP43V9v+n5n7GeeT5+2ZN1ebPeVDMIHv9njBTvMY03v8PnLGzxLTAxHF8+7t97qjA/2f4r
+OuNd0LRQt7+4fQwNg7+pyzmoIqIRGxePuergfmUtZzF603Vg+AGbD8wFCbJhgNeEGW3f3i9xuw5
XjfVy8NeDc2nLN3f5XQ/dqu26D5d3vvrTUMj9OtbD83vo1S3/ugNO8GGI15gUtt/9IYGUbKpLydg
qK0f//uAn21H5jdRBVs/+tcuzr9/9Ka27E8h7sdm7Yu746Z/9rYXLf7GbXy/Lv/rfwAAAP//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2.emf"/><Relationship Id="rId7"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6.xml"/><Relationship Id="rId4" Type="http://schemas.openxmlformats.org/officeDocument/2006/relationships/chart" Target="../charts/chart2.xml"/><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26</xdr:col>
      <xdr:colOff>0</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2014483" y="0"/>
          <a:ext cx="13335000" cy="8003190"/>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2014483" cy="8003190"/>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206339</xdr:colOff>
      <xdr:row>0</xdr:row>
      <xdr:rowOff>101429</xdr:rowOff>
    </xdr:from>
    <xdr:to>
      <xdr:col>2</xdr:col>
      <xdr:colOff>0</xdr:colOff>
      <xdr:row>3</xdr:row>
      <xdr:rowOff>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578230" cy="456933"/>
        </a:xfrm>
        <a:prstGeom prst="rect">
          <a:avLst/>
        </a:prstGeom>
      </xdr:spPr>
    </xdr:pic>
    <xdr:clientData/>
  </xdr:twoCellAnchor>
  <xdr:twoCellAnchor>
    <xdr:from>
      <xdr:col>0</xdr:col>
      <xdr:colOff>0</xdr:colOff>
      <xdr:row>4</xdr:row>
      <xdr:rowOff>139286</xdr:rowOff>
    </xdr:from>
    <xdr:to>
      <xdr:col>1</xdr:col>
      <xdr:colOff>844550</xdr:colOff>
      <xdr:row>6</xdr:row>
      <xdr:rowOff>177386</xdr:rowOff>
    </xdr:to>
    <xdr:sp macro="" textlink="Sheet1!G4">
      <xdr:nvSpPr>
        <xdr:cNvPr id="5" name="TextBox 4">
          <a:extLst>
            <a:ext uri="{FF2B5EF4-FFF2-40B4-BE49-F238E27FC236}">
              <a16:creationId xmlns:a16="http://schemas.microsoft.com/office/drawing/2014/main" id="{4C115D60-7AAD-39C2-73AD-D9E4C9F079FF}"/>
            </a:ext>
          </a:extLst>
        </xdr:cNvPr>
        <xdr:cNvSpPr txBox="1"/>
      </xdr:nvSpPr>
      <xdr:spPr>
        <a:xfrm>
          <a:off x="0" y="883769"/>
          <a:ext cx="1074464" cy="410341"/>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9441F9-4F3A-4985-8FA4-F5E1AC2CA64D}" type="TxLink">
            <a:rPr lang="en-US" sz="1600" b="0" i="0" u="none" strike="noStrike">
              <a:gradFill flip="none" rotWithShape="1">
                <a:gsLst>
                  <a:gs pos="0">
                    <a:schemeClr val="bg1"/>
                  </a:gs>
                  <a:gs pos="73000">
                    <a:schemeClr val="accent3">
                      <a:lumMod val="95000"/>
                      <a:lumOff val="5000"/>
                    </a:schemeClr>
                  </a:gs>
                  <a:gs pos="100000">
                    <a:schemeClr val="bg1">
                      <a:lumMod val="50000"/>
                    </a:schemeClr>
                  </a:gs>
                </a:gsLst>
                <a:path path="circle">
                  <a:fillToRect l="100000" t="100000"/>
                </a:path>
                <a:tileRect r="-100000" b="-100000"/>
              </a:gradFill>
              <a:effectLst>
                <a:outerShdw blurRad="50800" dist="38100" dir="18900000" algn="bl" rotWithShape="0">
                  <a:prstClr val="black">
                    <a:alpha val="40000"/>
                  </a:prstClr>
                </a:outerShdw>
              </a:effectLst>
              <a:latin typeface="Arial Black" panose="020B0A04020102020204" pitchFamily="34" charset="0"/>
            </a:rPr>
            <a:pPr/>
            <a:t>2400</a:t>
          </a:fld>
          <a:endParaRPr lang="en-US" sz="1600">
            <a:gradFill flip="none" rotWithShape="1">
              <a:gsLst>
                <a:gs pos="0">
                  <a:schemeClr val="bg1"/>
                </a:gs>
                <a:gs pos="73000">
                  <a:schemeClr val="accent3">
                    <a:lumMod val="95000"/>
                    <a:lumOff val="5000"/>
                  </a:schemeClr>
                </a:gs>
                <a:gs pos="100000">
                  <a:schemeClr val="bg1">
                    <a:lumMod val="50000"/>
                  </a:schemeClr>
                </a:gs>
              </a:gsLst>
              <a:path path="circle">
                <a:fillToRect l="100000" t="100000"/>
              </a:path>
              <a:tileRect r="-100000" b="-100000"/>
            </a:gradFill>
            <a:effectLst>
              <a:outerShdw blurRad="50800" dist="38100" dir="18900000" algn="bl" rotWithShape="0">
                <a:prstClr val="black">
                  <a:alpha val="40000"/>
                </a:prstClr>
              </a:outerShdw>
            </a:effectLst>
            <a:latin typeface="Arial Black" panose="020B0A04020102020204" pitchFamily="34" charset="0"/>
          </a:endParaRPr>
        </a:p>
      </xdr:txBody>
    </xdr:sp>
    <xdr:clientData/>
  </xdr:twoCellAnchor>
  <xdr:twoCellAnchor>
    <xdr:from>
      <xdr:col>0</xdr:col>
      <xdr:colOff>0</xdr:colOff>
      <xdr:row>7</xdr:row>
      <xdr:rowOff>179544</xdr:rowOff>
    </xdr:from>
    <xdr:to>
      <xdr:col>1</xdr:col>
      <xdr:colOff>1359437</xdr:colOff>
      <xdr:row>10</xdr:row>
      <xdr:rowOff>33494</xdr:rowOff>
    </xdr:to>
    <xdr:sp macro="" textlink="Sheet1!H4">
      <xdr:nvSpPr>
        <xdr:cNvPr id="7" name="TextBox 6">
          <a:extLst>
            <a:ext uri="{FF2B5EF4-FFF2-40B4-BE49-F238E27FC236}">
              <a16:creationId xmlns:a16="http://schemas.microsoft.com/office/drawing/2014/main" id="{9151C0EC-BC6D-4DD1-8BAB-FFD26EB39D9A}"/>
            </a:ext>
          </a:extLst>
        </xdr:cNvPr>
        <xdr:cNvSpPr txBox="1"/>
      </xdr:nvSpPr>
      <xdr:spPr>
        <a:xfrm>
          <a:off x="0" y="1482389"/>
          <a:ext cx="1589351" cy="412312"/>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4DE2A1B-45BD-431C-B02D-E3B0271D8B31}" type="TxLink">
            <a:rPr lang="en-US" sz="1600" b="0" i="0" u="none" strike="noStrike">
              <a:gradFill flip="none" rotWithShape="1">
                <a:gsLst>
                  <a:gs pos="0">
                    <a:schemeClr val="bg1"/>
                  </a:gs>
                  <a:gs pos="73000">
                    <a:schemeClr val="accent3">
                      <a:lumMod val="95000"/>
                      <a:lumOff val="5000"/>
                    </a:schemeClr>
                  </a:gs>
                  <a:gs pos="100000">
                    <a:schemeClr val="bg1">
                      <a:lumMod val="50000"/>
                    </a:schemeClr>
                  </a:gs>
                </a:gsLst>
                <a:path path="circle">
                  <a:fillToRect l="100000" t="100000"/>
                </a:path>
                <a:tileRect r="-100000" b="-100000"/>
              </a:gradFill>
              <a:effectLst>
                <a:outerShdw blurRad="50800" dist="38100" dir="18900000" algn="bl" rotWithShape="0">
                  <a:prstClr val="black">
                    <a:alpha val="40000"/>
                  </a:prstClr>
                </a:outerShdw>
              </a:effectLst>
              <a:latin typeface="Arial Black" panose="020B0A04020102020204" pitchFamily="34" charset="0"/>
              <a:ea typeface="+mn-ea"/>
              <a:cs typeface="+mn-cs"/>
            </a:rPr>
            <a:pPr marL="0" indent="0"/>
            <a:t>$649.0k</a:t>
          </a:fld>
          <a:endParaRPr lang="en-US" sz="1600" b="0" i="0" u="none" strike="noStrike">
            <a:gradFill flip="none" rotWithShape="1">
              <a:gsLst>
                <a:gs pos="0">
                  <a:schemeClr val="bg1"/>
                </a:gs>
                <a:gs pos="73000">
                  <a:schemeClr val="accent3">
                    <a:lumMod val="95000"/>
                    <a:lumOff val="5000"/>
                  </a:schemeClr>
                </a:gs>
                <a:gs pos="100000">
                  <a:schemeClr val="bg1">
                    <a:lumMod val="50000"/>
                  </a:schemeClr>
                </a:gs>
              </a:gsLst>
              <a:path path="circle">
                <a:fillToRect l="100000" t="100000"/>
              </a:path>
              <a:tileRect r="-100000" b="-100000"/>
            </a:gradFill>
            <a:effectLst>
              <a:outerShdw blurRad="50800" dist="38100" dir="18900000" algn="bl" rotWithShape="0">
                <a:prstClr val="black">
                  <a:alpha val="40000"/>
                </a:prstClr>
              </a:outerShdw>
            </a:effectLst>
            <a:latin typeface="Arial Black" panose="020B0A04020102020204" pitchFamily="34" charset="0"/>
            <a:ea typeface="+mn-ea"/>
            <a:cs typeface="+mn-cs"/>
          </a:endParaRPr>
        </a:p>
      </xdr:txBody>
    </xdr:sp>
    <xdr:clientData/>
  </xdr:twoCellAnchor>
  <xdr:twoCellAnchor>
    <xdr:from>
      <xdr:col>0</xdr:col>
      <xdr:colOff>0</xdr:colOff>
      <xdr:row>11</xdr:row>
      <xdr:rowOff>35652</xdr:rowOff>
    </xdr:from>
    <xdr:to>
      <xdr:col>1</xdr:col>
      <xdr:colOff>847912</xdr:colOff>
      <xdr:row>13</xdr:row>
      <xdr:rowOff>73752</xdr:rowOff>
    </xdr:to>
    <xdr:sp macro="" textlink="Sheet1!I4">
      <xdr:nvSpPr>
        <xdr:cNvPr id="8" name="TextBox 7">
          <a:extLst>
            <a:ext uri="{FF2B5EF4-FFF2-40B4-BE49-F238E27FC236}">
              <a16:creationId xmlns:a16="http://schemas.microsoft.com/office/drawing/2014/main" id="{00A50C96-AF48-4DD7-878A-57FC16235561}"/>
            </a:ext>
          </a:extLst>
        </xdr:cNvPr>
        <xdr:cNvSpPr txBox="1"/>
      </xdr:nvSpPr>
      <xdr:spPr>
        <a:xfrm>
          <a:off x="0" y="2082980"/>
          <a:ext cx="1077826" cy="410341"/>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C3C76A9-A59F-4998-85D2-6A7C4F91F11F}" type="TxLink">
            <a:rPr lang="en-US" sz="1600" b="0" i="0" u="none" strike="noStrike">
              <a:gradFill flip="none" rotWithShape="1">
                <a:gsLst>
                  <a:gs pos="0">
                    <a:schemeClr val="bg1"/>
                  </a:gs>
                  <a:gs pos="73000">
                    <a:schemeClr val="accent3">
                      <a:lumMod val="95000"/>
                      <a:lumOff val="5000"/>
                    </a:schemeClr>
                  </a:gs>
                  <a:gs pos="100000">
                    <a:schemeClr val="bg1">
                      <a:lumMod val="50000"/>
                    </a:schemeClr>
                  </a:gs>
                </a:gsLst>
                <a:path path="circle">
                  <a:fillToRect l="100000" t="100000"/>
                </a:path>
                <a:tileRect r="-100000" b="-100000"/>
              </a:gradFill>
              <a:effectLst>
                <a:outerShdw blurRad="50800" dist="38100" dir="18900000" algn="bl" rotWithShape="0">
                  <a:prstClr val="black">
                    <a:alpha val="40000"/>
                  </a:prstClr>
                </a:outerShdw>
              </a:effectLst>
              <a:latin typeface="Arial Black" panose="020B0A04020102020204" pitchFamily="34" charset="0"/>
              <a:ea typeface="+mn-ea"/>
              <a:cs typeface="+mn-cs"/>
            </a:rPr>
            <a:pPr marL="0" indent="0"/>
            <a:t>11997</a:t>
          </a:fld>
          <a:endParaRPr lang="en-US" sz="1600" b="0" i="0" u="none" strike="noStrike">
            <a:gradFill flip="none" rotWithShape="1">
              <a:gsLst>
                <a:gs pos="0">
                  <a:schemeClr val="bg1"/>
                </a:gs>
                <a:gs pos="73000">
                  <a:schemeClr val="accent3">
                    <a:lumMod val="95000"/>
                    <a:lumOff val="5000"/>
                  </a:schemeClr>
                </a:gs>
                <a:gs pos="100000">
                  <a:schemeClr val="bg1">
                    <a:lumMod val="50000"/>
                  </a:schemeClr>
                </a:gs>
              </a:gsLst>
              <a:path path="circle">
                <a:fillToRect l="100000" t="100000"/>
              </a:path>
              <a:tileRect r="-100000" b="-100000"/>
            </a:gradFill>
            <a:effectLst>
              <a:outerShdw blurRad="50800" dist="38100" dir="18900000" algn="bl" rotWithShape="0">
                <a:prstClr val="black">
                  <a:alpha val="40000"/>
                </a:prstClr>
              </a:outerShdw>
            </a:effectLst>
            <a:latin typeface="Arial Black" panose="020B0A04020102020204" pitchFamily="34" charset="0"/>
            <a:ea typeface="+mn-ea"/>
            <a:cs typeface="+mn-cs"/>
          </a:endParaRPr>
        </a:p>
      </xdr:txBody>
    </xdr:sp>
    <xdr:clientData/>
  </xdr:twoCellAnchor>
  <xdr:twoCellAnchor>
    <xdr:from>
      <xdr:col>0</xdr:col>
      <xdr:colOff>0</xdr:colOff>
      <xdr:row>14</xdr:row>
      <xdr:rowOff>75910</xdr:rowOff>
    </xdr:from>
    <xdr:to>
      <xdr:col>1</xdr:col>
      <xdr:colOff>847912</xdr:colOff>
      <xdr:row>16</xdr:row>
      <xdr:rowOff>114010</xdr:rowOff>
    </xdr:to>
    <xdr:sp macro="" textlink="Sheet1!J4">
      <xdr:nvSpPr>
        <xdr:cNvPr id="9" name="TextBox 8">
          <a:extLst>
            <a:ext uri="{FF2B5EF4-FFF2-40B4-BE49-F238E27FC236}">
              <a16:creationId xmlns:a16="http://schemas.microsoft.com/office/drawing/2014/main" id="{8073A1DE-298E-4D19-836F-B96F44C0AEA7}"/>
            </a:ext>
          </a:extLst>
        </xdr:cNvPr>
        <xdr:cNvSpPr txBox="1"/>
      </xdr:nvSpPr>
      <xdr:spPr>
        <a:xfrm>
          <a:off x="0" y="2681600"/>
          <a:ext cx="1077826" cy="410341"/>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97731F2-B582-4559-8E57-B0EF156B5086}" type="TxLink">
            <a:rPr lang="en-US" sz="1600" b="0" i="0" u="none" strike="noStrike">
              <a:gradFill flip="none" rotWithShape="1">
                <a:gsLst>
                  <a:gs pos="0">
                    <a:schemeClr val="bg1"/>
                  </a:gs>
                  <a:gs pos="73000">
                    <a:schemeClr val="accent3">
                      <a:lumMod val="95000"/>
                      <a:lumOff val="5000"/>
                    </a:schemeClr>
                  </a:gs>
                  <a:gs pos="100000">
                    <a:schemeClr val="bg1">
                      <a:lumMod val="50000"/>
                    </a:schemeClr>
                  </a:gs>
                </a:gsLst>
                <a:path path="circle">
                  <a:fillToRect l="100000" t="100000"/>
                </a:path>
                <a:tileRect r="-100000" b="-100000"/>
              </a:gradFill>
              <a:effectLst>
                <a:outerShdw blurRad="50800" dist="38100" dir="18900000" algn="bl" rotWithShape="0">
                  <a:prstClr val="black">
                    <a:alpha val="40000"/>
                  </a:prstClr>
                </a:outerShdw>
              </a:effectLst>
              <a:latin typeface="Arial Black" panose="020B0A04020102020204" pitchFamily="34" charset="0"/>
              <a:ea typeface="+mn-ea"/>
              <a:cs typeface="+mn-cs"/>
            </a:rPr>
            <a:pPr marL="0" indent="0"/>
            <a:t>4.0</a:t>
          </a:fld>
          <a:endParaRPr lang="en-US" sz="1600" b="0" i="0" u="none" strike="noStrike">
            <a:gradFill flip="none" rotWithShape="1">
              <a:gsLst>
                <a:gs pos="0">
                  <a:schemeClr val="bg1"/>
                </a:gs>
                <a:gs pos="73000">
                  <a:schemeClr val="accent3">
                    <a:lumMod val="95000"/>
                    <a:lumOff val="5000"/>
                  </a:schemeClr>
                </a:gs>
                <a:gs pos="100000">
                  <a:schemeClr val="bg1">
                    <a:lumMod val="50000"/>
                  </a:schemeClr>
                </a:gs>
              </a:gsLst>
              <a:path path="circle">
                <a:fillToRect l="100000" t="100000"/>
              </a:path>
              <a:tileRect r="-100000" b="-100000"/>
            </a:gradFill>
            <a:effectLst>
              <a:outerShdw blurRad="50800" dist="38100" dir="18900000" algn="bl" rotWithShape="0">
                <a:prstClr val="black">
                  <a:alpha val="40000"/>
                </a:prstClr>
              </a:outerShdw>
            </a:effectLst>
            <a:latin typeface="Arial Black" panose="020B0A04020102020204" pitchFamily="34" charset="0"/>
            <a:ea typeface="+mn-ea"/>
            <a:cs typeface="+mn-cs"/>
          </a:endParaRPr>
        </a:p>
      </xdr:txBody>
    </xdr:sp>
    <xdr:clientData/>
  </xdr:twoCellAnchor>
  <xdr:twoCellAnchor>
    <xdr:from>
      <xdr:col>0</xdr:col>
      <xdr:colOff>0</xdr:colOff>
      <xdr:row>17</xdr:row>
      <xdr:rowOff>137085</xdr:rowOff>
    </xdr:from>
    <xdr:to>
      <xdr:col>1</xdr:col>
      <xdr:colOff>847912</xdr:colOff>
      <xdr:row>19</xdr:row>
      <xdr:rowOff>175186</xdr:rowOff>
    </xdr:to>
    <xdr:sp macro="" textlink="Sheet1!K4">
      <xdr:nvSpPr>
        <xdr:cNvPr id="10" name="TextBox 9">
          <a:extLst>
            <a:ext uri="{FF2B5EF4-FFF2-40B4-BE49-F238E27FC236}">
              <a16:creationId xmlns:a16="http://schemas.microsoft.com/office/drawing/2014/main" id="{92814503-3807-4909-B867-6C6A9B2E444C}"/>
            </a:ext>
          </a:extLst>
        </xdr:cNvPr>
        <xdr:cNvSpPr txBox="1"/>
      </xdr:nvSpPr>
      <xdr:spPr>
        <a:xfrm>
          <a:off x="0" y="3301137"/>
          <a:ext cx="1077826" cy="410342"/>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85DBD46-4A40-4192-ACA1-1B30B27797E4}" type="TxLink">
            <a:rPr lang="en-US" sz="1600" b="0" i="0" u="none" strike="noStrike">
              <a:gradFill flip="none" rotWithShape="1">
                <a:gsLst>
                  <a:gs pos="0">
                    <a:schemeClr val="bg1"/>
                  </a:gs>
                  <a:gs pos="73000">
                    <a:schemeClr val="accent3">
                      <a:lumMod val="95000"/>
                      <a:lumOff val="5000"/>
                    </a:schemeClr>
                  </a:gs>
                  <a:gs pos="100000">
                    <a:schemeClr val="bg1">
                      <a:lumMod val="50000"/>
                    </a:schemeClr>
                  </a:gs>
                </a:gsLst>
                <a:path path="circle">
                  <a:fillToRect l="100000" t="100000"/>
                </a:path>
                <a:tileRect r="-100000" b="-100000"/>
              </a:gradFill>
              <a:effectLst>
                <a:outerShdw blurRad="50800" dist="38100" dir="18900000" algn="bl" rotWithShape="0">
                  <a:prstClr val="black">
                    <a:alpha val="40000"/>
                  </a:prstClr>
                </a:outerShdw>
              </a:effectLst>
              <a:latin typeface="Arial Black" panose="020B0A04020102020204" pitchFamily="34" charset="0"/>
              <a:ea typeface="+mn-ea"/>
              <a:cs typeface="+mn-cs"/>
            </a:rPr>
            <a:pPr marL="0" indent="0"/>
            <a:t>2.3</a:t>
          </a:fld>
          <a:endParaRPr lang="en-US" sz="1600" b="0" i="0" u="none" strike="noStrike">
            <a:gradFill flip="none" rotWithShape="1">
              <a:gsLst>
                <a:gs pos="0">
                  <a:schemeClr val="bg1"/>
                </a:gs>
                <a:gs pos="73000">
                  <a:schemeClr val="accent3">
                    <a:lumMod val="95000"/>
                    <a:lumOff val="5000"/>
                  </a:schemeClr>
                </a:gs>
                <a:gs pos="100000">
                  <a:schemeClr val="bg1">
                    <a:lumMod val="50000"/>
                  </a:schemeClr>
                </a:gs>
              </a:gsLst>
              <a:path path="circle">
                <a:fillToRect l="100000" t="100000"/>
              </a:path>
              <a:tileRect r="-100000" b="-100000"/>
            </a:gradFill>
            <a:effectLst>
              <a:outerShdw blurRad="50800" dist="38100" dir="18900000" algn="bl" rotWithShape="0">
                <a:prstClr val="black">
                  <a:alpha val="40000"/>
                </a:prstClr>
              </a:outerShdw>
            </a:effectLst>
            <a:latin typeface="Arial Black" panose="020B0A04020102020204" pitchFamily="34" charset="0"/>
            <a:ea typeface="+mn-ea"/>
            <a:cs typeface="+mn-cs"/>
          </a:endParaRPr>
        </a:p>
      </xdr:txBody>
    </xdr:sp>
    <xdr:clientData/>
  </xdr:twoCellAnchor>
  <xdr:twoCellAnchor>
    <xdr:from>
      <xdr:col>0</xdr:col>
      <xdr:colOff>0</xdr:colOff>
      <xdr:row>3</xdr:row>
      <xdr:rowOff>97119</xdr:rowOff>
    </xdr:from>
    <xdr:to>
      <xdr:col>1</xdr:col>
      <xdr:colOff>889001</xdr:colOff>
      <xdr:row>4</xdr:row>
      <xdr:rowOff>179295</xdr:rowOff>
    </xdr:to>
    <xdr:sp macro="" textlink="">
      <xdr:nvSpPr>
        <xdr:cNvPr id="11" name="TextBox 10">
          <a:extLst>
            <a:ext uri="{FF2B5EF4-FFF2-40B4-BE49-F238E27FC236}">
              <a16:creationId xmlns:a16="http://schemas.microsoft.com/office/drawing/2014/main" id="{419F030C-8CC3-70DA-6CF2-2CFB9EE003D8}"/>
            </a:ext>
          </a:extLst>
        </xdr:cNvPr>
        <xdr:cNvSpPr txBox="1"/>
      </xdr:nvSpPr>
      <xdr:spPr>
        <a:xfrm>
          <a:off x="0" y="655481"/>
          <a:ext cx="1118915" cy="268297"/>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gradFill>
                <a:gsLst>
                  <a:gs pos="0">
                    <a:schemeClr val="bg1"/>
                  </a:gs>
                  <a:gs pos="73000">
                    <a:schemeClr val="accent3">
                      <a:lumMod val="95000"/>
                      <a:lumOff val="5000"/>
                    </a:schemeClr>
                  </a:gs>
                  <a:gs pos="100000">
                    <a:schemeClr val="bg1">
                      <a:lumMod val="50000"/>
                    </a:schemeClr>
                  </a:gs>
                </a:gsLst>
                <a:path path="circle">
                  <a:fillToRect l="100000" t="100000"/>
                </a:path>
              </a:gradFill>
              <a:latin typeface="Calibri" panose="020F0502020204030204" pitchFamily="34" charset="0"/>
              <a:ea typeface="Calibri" panose="020F0502020204030204" pitchFamily="34" charset="0"/>
              <a:cs typeface="Calibri" panose="020F0502020204030204" pitchFamily="34" charset="0"/>
            </a:rPr>
            <a:t>🛒Orders</a:t>
          </a:r>
        </a:p>
      </xdr:txBody>
    </xdr:sp>
    <xdr:clientData/>
  </xdr:twoCellAnchor>
  <xdr:twoCellAnchor>
    <xdr:from>
      <xdr:col>0</xdr:col>
      <xdr:colOff>0</xdr:colOff>
      <xdr:row>6</xdr:row>
      <xdr:rowOff>137377</xdr:rowOff>
    </xdr:from>
    <xdr:to>
      <xdr:col>1</xdr:col>
      <xdr:colOff>889001</xdr:colOff>
      <xdr:row>8</xdr:row>
      <xdr:rowOff>32788</xdr:rowOff>
    </xdr:to>
    <xdr:sp macro="" textlink="">
      <xdr:nvSpPr>
        <xdr:cNvPr id="12" name="TextBox 11">
          <a:extLst>
            <a:ext uri="{FF2B5EF4-FFF2-40B4-BE49-F238E27FC236}">
              <a16:creationId xmlns:a16="http://schemas.microsoft.com/office/drawing/2014/main" id="{FCF44F11-D344-4256-9206-5BB8B079F6AB}"/>
            </a:ext>
          </a:extLst>
        </xdr:cNvPr>
        <xdr:cNvSpPr txBox="1"/>
      </xdr:nvSpPr>
      <xdr:spPr>
        <a:xfrm>
          <a:off x="0" y="1254101"/>
          <a:ext cx="1118915" cy="267653"/>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Calibri" panose="020F0502020204030204" pitchFamily="34" charset="0"/>
              <a:ea typeface="Calibri" panose="020F0502020204030204" pitchFamily="34" charset="0"/>
              <a:cs typeface="Calibri" panose="020F0502020204030204" pitchFamily="34" charset="0"/>
            </a:rPr>
            <a:t>👕</a:t>
          </a:r>
          <a:r>
            <a:rPr lang="en-US" sz="1200">
              <a:gradFill>
                <a:gsLst>
                  <a:gs pos="0">
                    <a:schemeClr val="bg1"/>
                  </a:gs>
                  <a:gs pos="73000">
                    <a:schemeClr val="accent3">
                      <a:lumMod val="95000"/>
                      <a:lumOff val="5000"/>
                    </a:schemeClr>
                  </a:gs>
                  <a:gs pos="100000">
                    <a:schemeClr val="bg1">
                      <a:lumMod val="50000"/>
                    </a:schemeClr>
                  </a:gs>
                </a:gsLst>
                <a:path path="circle">
                  <a:fillToRect l="100000" t="100000"/>
                </a:path>
              </a:gradFill>
              <a:latin typeface="Calibri" panose="020F0502020204030204" pitchFamily="34" charset="0"/>
              <a:ea typeface="Calibri" panose="020F0502020204030204" pitchFamily="34" charset="0"/>
              <a:cs typeface="Calibri" panose="020F0502020204030204" pitchFamily="34" charset="0"/>
            </a:rPr>
            <a:t>Quantity</a:t>
          </a:r>
        </a:p>
      </xdr:txBody>
    </xdr:sp>
    <xdr:clientData/>
  </xdr:twoCellAnchor>
  <xdr:twoCellAnchor>
    <xdr:from>
      <xdr:col>0</xdr:col>
      <xdr:colOff>0</xdr:colOff>
      <xdr:row>9</xdr:row>
      <xdr:rowOff>180250</xdr:rowOff>
    </xdr:from>
    <xdr:to>
      <xdr:col>1</xdr:col>
      <xdr:colOff>889001</xdr:colOff>
      <xdr:row>11</xdr:row>
      <xdr:rowOff>75661</xdr:rowOff>
    </xdr:to>
    <xdr:sp macro="" textlink="">
      <xdr:nvSpPr>
        <xdr:cNvPr id="13" name="TextBox 12">
          <a:extLst>
            <a:ext uri="{FF2B5EF4-FFF2-40B4-BE49-F238E27FC236}">
              <a16:creationId xmlns:a16="http://schemas.microsoft.com/office/drawing/2014/main" id="{7F7D4CEB-2C5D-48F5-AAF4-EEB36368A7A0}"/>
            </a:ext>
          </a:extLst>
        </xdr:cNvPr>
        <xdr:cNvSpPr txBox="1"/>
      </xdr:nvSpPr>
      <xdr:spPr>
        <a:xfrm>
          <a:off x="0" y="1855336"/>
          <a:ext cx="1118915" cy="267653"/>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Calibri" panose="020F0502020204030204" pitchFamily="34" charset="0"/>
              <a:ea typeface="Calibri" panose="020F0502020204030204" pitchFamily="34" charset="0"/>
              <a:cs typeface="Calibri" panose="020F0502020204030204" pitchFamily="34" charset="0"/>
            </a:rPr>
            <a:t>💰</a:t>
          </a:r>
          <a:r>
            <a:rPr lang="en-US" sz="1200">
              <a:gradFill>
                <a:gsLst>
                  <a:gs pos="0">
                    <a:schemeClr val="bg1"/>
                  </a:gs>
                  <a:gs pos="73000">
                    <a:schemeClr val="accent3">
                      <a:lumMod val="95000"/>
                      <a:lumOff val="5000"/>
                    </a:schemeClr>
                  </a:gs>
                  <a:gs pos="100000">
                    <a:schemeClr val="bg1">
                      <a:lumMod val="50000"/>
                    </a:schemeClr>
                  </a:gs>
                </a:gsLst>
                <a:path path="circle">
                  <a:fillToRect l="100000" t="100000"/>
                </a:path>
              </a:gradFill>
              <a:latin typeface="Calibri" panose="020F0502020204030204" pitchFamily="34" charset="0"/>
              <a:ea typeface="Calibri" panose="020F0502020204030204" pitchFamily="34" charset="0"/>
              <a:cs typeface="Calibri" panose="020F0502020204030204" pitchFamily="34" charset="0"/>
            </a:rPr>
            <a:t>Amount</a:t>
          </a:r>
        </a:p>
      </xdr:txBody>
    </xdr:sp>
    <xdr:clientData/>
  </xdr:twoCellAnchor>
  <xdr:twoCellAnchor>
    <xdr:from>
      <xdr:col>0</xdr:col>
      <xdr:colOff>0</xdr:colOff>
      <xdr:row>13</xdr:row>
      <xdr:rowOff>33743</xdr:rowOff>
    </xdr:from>
    <xdr:to>
      <xdr:col>1</xdr:col>
      <xdr:colOff>889001</xdr:colOff>
      <xdr:row>14</xdr:row>
      <xdr:rowOff>115919</xdr:rowOff>
    </xdr:to>
    <xdr:sp macro="" textlink="">
      <xdr:nvSpPr>
        <xdr:cNvPr id="14" name="TextBox 13">
          <a:extLst>
            <a:ext uri="{FF2B5EF4-FFF2-40B4-BE49-F238E27FC236}">
              <a16:creationId xmlns:a16="http://schemas.microsoft.com/office/drawing/2014/main" id="{76E933BB-19B9-48F7-84A4-2760D586274B}"/>
            </a:ext>
          </a:extLst>
        </xdr:cNvPr>
        <xdr:cNvSpPr txBox="1"/>
      </xdr:nvSpPr>
      <xdr:spPr>
        <a:xfrm>
          <a:off x="0" y="2453312"/>
          <a:ext cx="1118915" cy="268297"/>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Calibri" panose="020F0502020204030204" pitchFamily="34" charset="0"/>
              <a:ea typeface="Calibri" panose="020F0502020204030204" pitchFamily="34" charset="0"/>
              <a:cs typeface="Calibri" panose="020F0502020204030204" pitchFamily="34" charset="0"/>
            </a:rPr>
            <a:t>⭐</a:t>
          </a:r>
          <a:r>
            <a:rPr lang="en-US" sz="1200">
              <a:gradFill>
                <a:gsLst>
                  <a:gs pos="0">
                    <a:schemeClr val="bg1"/>
                  </a:gs>
                  <a:gs pos="73000">
                    <a:schemeClr val="accent3">
                      <a:lumMod val="95000"/>
                      <a:lumOff val="5000"/>
                    </a:schemeClr>
                  </a:gs>
                  <a:gs pos="100000">
                    <a:schemeClr val="bg1">
                      <a:lumMod val="50000"/>
                    </a:schemeClr>
                  </a:gs>
                </a:gsLst>
                <a:path path="circle">
                  <a:fillToRect l="100000" t="100000"/>
                </a:path>
              </a:gradFill>
              <a:latin typeface="Calibri" panose="020F0502020204030204" pitchFamily="34" charset="0"/>
              <a:ea typeface="Calibri" panose="020F0502020204030204" pitchFamily="34" charset="0"/>
              <a:cs typeface="Calibri" panose="020F0502020204030204" pitchFamily="34" charset="0"/>
            </a:rPr>
            <a:t>Rating</a:t>
          </a:r>
        </a:p>
      </xdr:txBody>
    </xdr:sp>
    <xdr:clientData/>
  </xdr:twoCellAnchor>
  <xdr:twoCellAnchor>
    <xdr:from>
      <xdr:col>0</xdr:col>
      <xdr:colOff>0</xdr:colOff>
      <xdr:row>16</xdr:row>
      <xdr:rowOff>74001</xdr:rowOff>
    </xdr:from>
    <xdr:to>
      <xdr:col>1</xdr:col>
      <xdr:colOff>1253564</xdr:colOff>
      <xdr:row>17</xdr:row>
      <xdr:rowOff>177093</xdr:rowOff>
    </xdr:to>
    <xdr:sp macro="" textlink="">
      <xdr:nvSpPr>
        <xdr:cNvPr id="15" name="TextBox 14">
          <a:extLst>
            <a:ext uri="{FF2B5EF4-FFF2-40B4-BE49-F238E27FC236}">
              <a16:creationId xmlns:a16="http://schemas.microsoft.com/office/drawing/2014/main" id="{3EC0C46B-A115-4073-B4A6-A9506A36E1D1}"/>
            </a:ext>
          </a:extLst>
        </xdr:cNvPr>
        <xdr:cNvSpPr txBox="1"/>
      </xdr:nvSpPr>
      <xdr:spPr>
        <a:xfrm>
          <a:off x="0" y="3051932"/>
          <a:ext cx="1483478" cy="289213"/>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Calibri" panose="020F0502020204030204" pitchFamily="34" charset="0"/>
              <a:ea typeface="Calibri" panose="020F0502020204030204" pitchFamily="34" charset="0"/>
              <a:cs typeface="Calibri" panose="020F0502020204030204" pitchFamily="34" charset="0"/>
            </a:rPr>
            <a:t>📅</a:t>
          </a:r>
          <a:r>
            <a:rPr lang="en-US" sz="1200">
              <a:gradFill>
                <a:gsLst>
                  <a:gs pos="0">
                    <a:schemeClr val="bg1"/>
                  </a:gs>
                  <a:gs pos="73000">
                    <a:schemeClr val="accent3">
                      <a:lumMod val="95000"/>
                      <a:lumOff val="5000"/>
                    </a:schemeClr>
                  </a:gs>
                  <a:gs pos="100000">
                    <a:schemeClr val="bg1">
                      <a:lumMod val="50000"/>
                    </a:schemeClr>
                  </a:gs>
                </a:gsLst>
                <a:path path="circle">
                  <a:fillToRect l="100000" t="100000"/>
                </a:path>
              </a:gradFill>
              <a:latin typeface="Calibri" panose="020F0502020204030204" pitchFamily="34" charset="0"/>
              <a:ea typeface="Calibri" panose="020F0502020204030204" pitchFamily="34" charset="0"/>
              <a:cs typeface="Calibri" panose="020F0502020204030204" pitchFamily="34" charset="0"/>
            </a:rPr>
            <a:t>Days</a:t>
          </a:r>
          <a:r>
            <a:rPr lang="en-US" sz="1200">
              <a:latin typeface="Calibri" panose="020F0502020204030204" pitchFamily="34" charset="0"/>
              <a:ea typeface="Calibri" panose="020F0502020204030204" pitchFamily="34" charset="0"/>
              <a:cs typeface="Calibri" panose="020F0502020204030204" pitchFamily="34" charset="0"/>
            </a:rPr>
            <a:t> </a:t>
          </a:r>
          <a:r>
            <a:rPr lang="en-US" sz="1200">
              <a:gradFill>
                <a:gsLst>
                  <a:gs pos="0">
                    <a:schemeClr val="bg1"/>
                  </a:gs>
                  <a:gs pos="73000">
                    <a:schemeClr val="accent3">
                      <a:lumMod val="95000"/>
                      <a:lumOff val="5000"/>
                    </a:schemeClr>
                  </a:gs>
                  <a:gs pos="100000">
                    <a:schemeClr val="bg1">
                      <a:lumMod val="50000"/>
                    </a:schemeClr>
                  </a:gs>
                </a:gsLst>
                <a:path path="circle">
                  <a:fillToRect l="100000" t="100000"/>
                </a:path>
              </a:gradFill>
              <a:latin typeface="Calibri" panose="020F0502020204030204" pitchFamily="34" charset="0"/>
              <a:ea typeface="Calibri" panose="020F0502020204030204" pitchFamily="34" charset="0"/>
              <a:cs typeface="Calibri" panose="020F0502020204030204" pitchFamily="34" charset="0"/>
            </a:rPr>
            <a:t>to</a:t>
          </a:r>
          <a:r>
            <a:rPr lang="en-US" sz="1200">
              <a:latin typeface="Calibri" panose="020F0502020204030204" pitchFamily="34" charset="0"/>
              <a:ea typeface="Calibri" panose="020F0502020204030204" pitchFamily="34" charset="0"/>
              <a:cs typeface="Calibri" panose="020F0502020204030204" pitchFamily="34" charset="0"/>
            </a:rPr>
            <a:t> </a:t>
          </a:r>
          <a:r>
            <a:rPr lang="en-US" sz="1200">
              <a:gradFill>
                <a:gsLst>
                  <a:gs pos="0">
                    <a:schemeClr val="bg1"/>
                  </a:gs>
                  <a:gs pos="73000">
                    <a:schemeClr val="accent3">
                      <a:lumMod val="95000"/>
                      <a:lumOff val="5000"/>
                    </a:schemeClr>
                  </a:gs>
                  <a:gs pos="100000">
                    <a:schemeClr val="bg1">
                      <a:lumMod val="50000"/>
                    </a:schemeClr>
                  </a:gs>
                </a:gsLst>
                <a:path path="circle">
                  <a:fillToRect l="100000" t="100000"/>
                </a:path>
              </a:gradFill>
              <a:latin typeface="Calibri" panose="020F0502020204030204" pitchFamily="34" charset="0"/>
              <a:ea typeface="Calibri" panose="020F0502020204030204" pitchFamily="34" charset="0"/>
              <a:cs typeface="Calibri" panose="020F0502020204030204" pitchFamily="34" charset="0"/>
            </a:rPr>
            <a:t>Deliver</a:t>
          </a:r>
        </a:p>
      </xdr:txBody>
    </xdr:sp>
    <xdr:clientData/>
  </xdr:twoCellAnchor>
  <xdr:twoCellAnchor>
    <xdr:from>
      <xdr:col>0</xdr:col>
      <xdr:colOff>7471</xdr:colOff>
      <xdr:row>6</xdr:row>
      <xdr:rowOff>119530</xdr:rowOff>
    </xdr:from>
    <xdr:to>
      <xdr:col>3</xdr:col>
      <xdr:colOff>0</xdr:colOff>
      <xdr:row>6</xdr:row>
      <xdr:rowOff>127000</xdr:rowOff>
    </xdr:to>
    <xdr:cxnSp macro="">
      <xdr:nvCxnSpPr>
        <xdr:cNvPr id="17" name="Straight Connector 16">
          <a:extLst>
            <a:ext uri="{FF2B5EF4-FFF2-40B4-BE49-F238E27FC236}">
              <a16:creationId xmlns:a16="http://schemas.microsoft.com/office/drawing/2014/main" id="{4D761DF6-B1E4-6394-D71D-63A28C82F822}"/>
            </a:ext>
          </a:extLst>
        </xdr:cNvPr>
        <xdr:cNvCxnSpPr/>
      </xdr:nvCxnSpPr>
      <xdr:spPr>
        <a:xfrm flipV="1">
          <a:off x="7471" y="1236254"/>
          <a:ext cx="2007012" cy="7470"/>
        </a:xfrm>
        <a:prstGeom prst="line">
          <a:avLst/>
        </a:prstGeom>
        <a:ln>
          <a:solidFill>
            <a:schemeClr val="bg1">
              <a:lumMod val="75000"/>
            </a:schemeClr>
          </a:solidFill>
        </a:ln>
        <a:effectLst>
          <a:reflection blurRad="6350" stA="50000" endA="300" endPos="55000" dir="5400000" sy="-100000" algn="bl" rotWithShape="0"/>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9</xdr:row>
      <xdr:rowOff>174812</xdr:rowOff>
    </xdr:from>
    <xdr:to>
      <xdr:col>2</xdr:col>
      <xdr:colOff>224117</xdr:colOff>
      <xdr:row>9</xdr:row>
      <xdr:rowOff>182282</xdr:rowOff>
    </xdr:to>
    <xdr:cxnSp macro="">
      <xdr:nvCxnSpPr>
        <xdr:cNvPr id="20" name="Straight Connector 19">
          <a:extLst>
            <a:ext uri="{FF2B5EF4-FFF2-40B4-BE49-F238E27FC236}">
              <a16:creationId xmlns:a16="http://schemas.microsoft.com/office/drawing/2014/main" id="{00531A8A-450A-4DF9-B235-55B7A3592BF0}"/>
            </a:ext>
          </a:extLst>
        </xdr:cNvPr>
        <xdr:cNvCxnSpPr/>
      </xdr:nvCxnSpPr>
      <xdr:spPr>
        <a:xfrm flipV="1">
          <a:off x="0" y="1849898"/>
          <a:ext cx="2008686" cy="7470"/>
        </a:xfrm>
        <a:prstGeom prst="line">
          <a:avLst/>
        </a:prstGeom>
        <a:ln>
          <a:solidFill>
            <a:schemeClr val="bg1">
              <a:lumMod val="75000"/>
            </a:schemeClr>
          </a:solidFill>
        </a:ln>
        <a:effectLst>
          <a:reflection blurRad="6350" stA="50000" endA="300" endPos="55000" dir="5400000" sy="-100000" algn="bl" rotWithShape="0"/>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13</xdr:row>
      <xdr:rowOff>35860</xdr:rowOff>
    </xdr:from>
    <xdr:to>
      <xdr:col>2</xdr:col>
      <xdr:colOff>224117</xdr:colOff>
      <xdr:row>13</xdr:row>
      <xdr:rowOff>43330</xdr:rowOff>
    </xdr:to>
    <xdr:cxnSp macro="">
      <xdr:nvCxnSpPr>
        <xdr:cNvPr id="21" name="Straight Connector 20">
          <a:extLst>
            <a:ext uri="{FF2B5EF4-FFF2-40B4-BE49-F238E27FC236}">
              <a16:creationId xmlns:a16="http://schemas.microsoft.com/office/drawing/2014/main" id="{94C78290-61F6-4A1A-A1EF-79E019381369}"/>
            </a:ext>
          </a:extLst>
        </xdr:cNvPr>
        <xdr:cNvCxnSpPr/>
      </xdr:nvCxnSpPr>
      <xdr:spPr>
        <a:xfrm flipV="1">
          <a:off x="0" y="2455429"/>
          <a:ext cx="2008686" cy="7470"/>
        </a:xfrm>
        <a:prstGeom prst="line">
          <a:avLst/>
        </a:prstGeom>
        <a:ln>
          <a:solidFill>
            <a:schemeClr val="bg1">
              <a:lumMod val="75000"/>
            </a:schemeClr>
          </a:solidFill>
        </a:ln>
        <a:effectLst>
          <a:reflection blurRad="6350" stA="50000" endA="300" endPos="55000" dir="5400000" sy="-100000" algn="bl" rotWithShape="0"/>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16</xdr:row>
      <xdr:rowOff>38847</xdr:rowOff>
    </xdr:from>
    <xdr:to>
      <xdr:col>2</xdr:col>
      <xdr:colOff>224117</xdr:colOff>
      <xdr:row>16</xdr:row>
      <xdr:rowOff>46317</xdr:rowOff>
    </xdr:to>
    <xdr:cxnSp macro="">
      <xdr:nvCxnSpPr>
        <xdr:cNvPr id="22" name="Straight Connector 21">
          <a:extLst>
            <a:ext uri="{FF2B5EF4-FFF2-40B4-BE49-F238E27FC236}">
              <a16:creationId xmlns:a16="http://schemas.microsoft.com/office/drawing/2014/main" id="{F2DFD845-8E50-4BC3-8CCB-6F534A75D674}"/>
            </a:ext>
          </a:extLst>
        </xdr:cNvPr>
        <xdr:cNvCxnSpPr/>
      </xdr:nvCxnSpPr>
      <xdr:spPr>
        <a:xfrm flipV="1">
          <a:off x="0" y="3016778"/>
          <a:ext cx="2008686" cy="7470"/>
        </a:xfrm>
        <a:prstGeom prst="line">
          <a:avLst/>
        </a:prstGeom>
        <a:ln>
          <a:solidFill>
            <a:schemeClr val="bg1">
              <a:lumMod val="75000"/>
            </a:schemeClr>
          </a:solidFill>
        </a:ln>
        <a:effectLst>
          <a:reflection blurRad="6350" stA="50000" endA="300" endPos="55000" dir="5400000" sy="-100000" algn="bl" rotWithShape="0"/>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19</xdr:row>
      <xdr:rowOff>124012</xdr:rowOff>
    </xdr:from>
    <xdr:to>
      <xdr:col>2</xdr:col>
      <xdr:colOff>224117</xdr:colOff>
      <xdr:row>19</xdr:row>
      <xdr:rowOff>131482</xdr:rowOff>
    </xdr:to>
    <xdr:cxnSp macro="">
      <xdr:nvCxnSpPr>
        <xdr:cNvPr id="23" name="Straight Connector 22">
          <a:extLst>
            <a:ext uri="{FF2B5EF4-FFF2-40B4-BE49-F238E27FC236}">
              <a16:creationId xmlns:a16="http://schemas.microsoft.com/office/drawing/2014/main" id="{43724EA7-ECD2-42CF-A7A2-6D03F5EB2D75}"/>
            </a:ext>
          </a:extLst>
        </xdr:cNvPr>
        <xdr:cNvCxnSpPr/>
      </xdr:nvCxnSpPr>
      <xdr:spPr>
        <a:xfrm flipV="1">
          <a:off x="0" y="3660305"/>
          <a:ext cx="2008686" cy="7470"/>
        </a:xfrm>
        <a:prstGeom prst="line">
          <a:avLst/>
        </a:prstGeom>
        <a:ln>
          <a:solidFill>
            <a:schemeClr val="bg1">
              <a:lumMod val="75000"/>
            </a:schemeClr>
          </a:solidFill>
        </a:ln>
        <a:effectLst>
          <a:reflection blurRad="6350" stA="50000" endA="300" endPos="55000" dir="5400000" sy="-100000" algn="bl" rotWithShape="0"/>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3</xdr:row>
      <xdr:rowOff>68498</xdr:rowOff>
    </xdr:from>
    <xdr:to>
      <xdr:col>2</xdr:col>
      <xdr:colOff>225064</xdr:colOff>
      <xdr:row>3</xdr:row>
      <xdr:rowOff>75968</xdr:rowOff>
    </xdr:to>
    <xdr:cxnSp macro="">
      <xdr:nvCxnSpPr>
        <xdr:cNvPr id="24" name="Straight Connector 23">
          <a:extLst>
            <a:ext uri="{FF2B5EF4-FFF2-40B4-BE49-F238E27FC236}">
              <a16:creationId xmlns:a16="http://schemas.microsoft.com/office/drawing/2014/main" id="{25D60FF2-DD21-4724-8BBB-B1EACBA42CDD}"/>
            </a:ext>
          </a:extLst>
        </xdr:cNvPr>
        <xdr:cNvCxnSpPr/>
      </xdr:nvCxnSpPr>
      <xdr:spPr>
        <a:xfrm flipV="1">
          <a:off x="0" y="626860"/>
          <a:ext cx="2009633" cy="7470"/>
        </a:xfrm>
        <a:prstGeom prst="line">
          <a:avLst/>
        </a:prstGeom>
        <a:ln>
          <a:solidFill>
            <a:schemeClr val="bg1">
              <a:lumMod val="75000"/>
            </a:schemeClr>
          </a:solidFill>
        </a:ln>
        <a:effectLst>
          <a:reflection blurRad="6350" stA="50000" endA="300" endPos="55000" dir="5400000" sy="-100000" algn="bl" rotWithShape="0"/>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67257</xdr:colOff>
      <xdr:row>1</xdr:row>
      <xdr:rowOff>107324</xdr:rowOff>
    </xdr:from>
    <xdr:to>
      <xdr:col>10</xdr:col>
      <xdr:colOff>143100</xdr:colOff>
      <xdr:row>15</xdr:row>
      <xdr:rowOff>8942</xdr:rowOff>
    </xdr:to>
    <xdr:graphicFrame macro="">
      <xdr:nvGraphicFramePr>
        <xdr:cNvPr id="26" name="Chart 25">
          <a:extLst>
            <a:ext uri="{FF2B5EF4-FFF2-40B4-BE49-F238E27FC236}">
              <a16:creationId xmlns:a16="http://schemas.microsoft.com/office/drawing/2014/main" id="{A68642BD-4E62-4ABC-9056-83D977BEB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357748</xdr:colOff>
      <xdr:row>1</xdr:row>
      <xdr:rowOff>160984</xdr:rowOff>
    </xdr:from>
    <xdr:to>
      <xdr:col>17</xdr:col>
      <xdr:colOff>339859</xdr:colOff>
      <xdr:row>14</xdr:row>
      <xdr:rowOff>116267</xdr:rowOff>
    </xdr:to>
    <xdr:pic>
      <xdr:nvPicPr>
        <xdr:cNvPr id="31" name="Picture 30">
          <a:extLst>
            <a:ext uri="{FF2B5EF4-FFF2-40B4-BE49-F238E27FC236}">
              <a16:creationId xmlns:a16="http://schemas.microsoft.com/office/drawing/2014/main" id="{B2814714-5853-BD1D-69BA-B777CDEE7CF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80765" y="347105"/>
          <a:ext cx="4273835" cy="2374852"/>
        </a:xfrm>
        <a:prstGeom prst="rect">
          <a:avLst/>
        </a:prstGeom>
        <a:solidFill>
          <a:srgbClr val="FFFFFF">
            <a:shade val="85000"/>
          </a:srgbClr>
        </a:solidFill>
        <a:ln w="88900" cap="sq">
          <a:solidFill>
            <a:srgbClr val="FFFFFF"/>
          </a:solidFill>
          <a:miter lim="800000"/>
        </a:ln>
        <a:effectLst>
          <a:outerShdw blurRad="55000" dist="18000" dir="5400000" algn="tl" rotWithShape="0">
            <a:schemeClr val="bg1">
              <a:alpha val="40000"/>
            </a:scheme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17</xdr:col>
      <xdr:colOff>603877</xdr:colOff>
      <xdr:row>1</xdr:row>
      <xdr:rowOff>107324</xdr:rowOff>
    </xdr:from>
    <xdr:to>
      <xdr:col>24</xdr:col>
      <xdr:colOff>599226</xdr:colOff>
      <xdr:row>14</xdr:row>
      <xdr:rowOff>169930</xdr:rowOff>
    </xdr:to>
    <xdr:graphicFrame macro="">
      <xdr:nvGraphicFramePr>
        <xdr:cNvPr id="33" name="Chart 32">
          <a:extLst>
            <a:ext uri="{FF2B5EF4-FFF2-40B4-BE49-F238E27FC236}">
              <a16:creationId xmlns:a16="http://schemas.microsoft.com/office/drawing/2014/main" id="{4EC2B138-9E48-4276-829F-1AC2FD2F4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80494</xdr:colOff>
      <xdr:row>17</xdr:row>
      <xdr:rowOff>116269</xdr:rowOff>
    </xdr:from>
    <xdr:to>
      <xdr:col>10</xdr:col>
      <xdr:colOff>123703</xdr:colOff>
      <xdr:row>42</xdr:row>
      <xdr:rowOff>8247</xdr:rowOff>
    </xdr:to>
    <xdr:graphicFrame macro="">
      <xdr:nvGraphicFramePr>
        <xdr:cNvPr id="35" name="Chart 34">
          <a:extLst>
            <a:ext uri="{FF2B5EF4-FFF2-40B4-BE49-F238E27FC236}">
              <a16:creationId xmlns:a16="http://schemas.microsoft.com/office/drawing/2014/main" id="{689876FF-8602-4CD7-B3AA-FA35064D6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420702</xdr:colOff>
      <xdr:row>24</xdr:row>
      <xdr:rowOff>140195</xdr:rowOff>
    </xdr:from>
    <xdr:to>
      <xdr:col>8</xdr:col>
      <xdr:colOff>148440</xdr:colOff>
      <xdr:row>31</xdr:row>
      <xdr:rowOff>115454</xdr:rowOff>
    </xdr:to>
    <xdr:graphicFrame macro="">
      <xdr:nvGraphicFramePr>
        <xdr:cNvPr id="37" name="Chart 36">
          <a:extLst>
            <a:ext uri="{FF2B5EF4-FFF2-40B4-BE49-F238E27FC236}">
              <a16:creationId xmlns:a16="http://schemas.microsoft.com/office/drawing/2014/main" id="{6E5AF359-4DD5-4819-BEA6-F3193A986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329870</xdr:colOff>
      <xdr:row>17</xdr:row>
      <xdr:rowOff>123702</xdr:rowOff>
    </xdr:from>
    <xdr:to>
      <xdr:col>17</xdr:col>
      <xdr:colOff>321623</xdr:colOff>
      <xdr:row>42</xdr:row>
      <xdr:rowOff>8247</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C53EB784-8F70-414B-AF5E-F41439E4E0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241720" y="3254252"/>
              <a:ext cx="4258953" cy="44882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123701</xdr:colOff>
      <xdr:row>21</xdr:row>
      <xdr:rowOff>57728</xdr:rowOff>
    </xdr:from>
    <xdr:to>
      <xdr:col>17</xdr:col>
      <xdr:colOff>32987</xdr:colOff>
      <xdr:row>31</xdr:row>
      <xdr:rowOff>173182</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B8EF7A64-354E-4B75-B53F-02B7B686C2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083551" y="3924878"/>
              <a:ext cx="1128486" cy="195695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0</xdr:colOff>
      <xdr:row>17</xdr:row>
      <xdr:rowOff>159118</xdr:rowOff>
    </xdr:from>
    <xdr:to>
      <xdr:col>24</xdr:col>
      <xdr:colOff>603250</xdr:colOff>
      <xdr:row>28</xdr:row>
      <xdr:rowOff>142329</xdr:rowOff>
    </xdr:to>
    <xdr:graphicFrame macro="">
      <xdr:nvGraphicFramePr>
        <xdr:cNvPr id="25" name="Chart 24">
          <a:extLst>
            <a:ext uri="{FF2B5EF4-FFF2-40B4-BE49-F238E27FC236}">
              <a16:creationId xmlns:a16="http://schemas.microsoft.com/office/drawing/2014/main" id="{5F1330BB-C4AC-4C08-93F2-81339020C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610947</xdr:colOff>
      <xdr:row>29</xdr:row>
      <xdr:rowOff>131379</xdr:rowOff>
    </xdr:from>
    <xdr:to>
      <xdr:col>24</xdr:col>
      <xdr:colOff>602156</xdr:colOff>
      <xdr:row>41</xdr:row>
      <xdr:rowOff>186120</xdr:rowOff>
    </xdr:to>
    <xdr:graphicFrame macro="">
      <xdr:nvGraphicFramePr>
        <xdr:cNvPr id="28" name="Chart 27">
          <a:extLst>
            <a:ext uri="{FF2B5EF4-FFF2-40B4-BE49-F238E27FC236}">
              <a16:creationId xmlns:a16="http://schemas.microsoft.com/office/drawing/2014/main" id="{2BAD647B-C944-4262-844B-18F405536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65690</xdr:colOff>
      <xdr:row>20</xdr:row>
      <xdr:rowOff>108591</xdr:rowOff>
    </xdr:from>
    <xdr:to>
      <xdr:col>2</xdr:col>
      <xdr:colOff>109921</xdr:colOff>
      <xdr:row>29</xdr:row>
      <xdr:rowOff>154355</xdr:rowOff>
    </xdr:to>
    <mc:AlternateContent xmlns:mc="http://schemas.openxmlformats.org/markup-compatibility/2006" xmlns:a14="http://schemas.microsoft.com/office/drawing/2010/main">
      <mc:Choice Requires="a14">
        <xdr:graphicFrame macro="">
          <xdr:nvGraphicFramePr>
            <xdr:cNvPr id="29" name="Gender Value">
              <a:extLst>
                <a:ext uri="{FF2B5EF4-FFF2-40B4-BE49-F238E27FC236}">
                  <a16:creationId xmlns:a16="http://schemas.microsoft.com/office/drawing/2014/main" id="{52401473-D822-4CE0-868B-4BC984267ECC}"/>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65690" y="3878904"/>
              <a:ext cx="1830169" cy="17424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68554</xdr:colOff>
      <xdr:row>30</xdr:row>
      <xdr:rowOff>175173</xdr:rowOff>
    </xdr:from>
    <xdr:to>
      <xdr:col>2</xdr:col>
      <xdr:colOff>112785</xdr:colOff>
      <xdr:row>41</xdr:row>
      <xdr:rowOff>45546</xdr:rowOff>
    </xdr:to>
    <mc:AlternateContent xmlns:mc="http://schemas.openxmlformats.org/markup-compatibility/2006" xmlns:a14="http://schemas.microsoft.com/office/drawing/2010/main">
      <mc:Choice Requires="a14">
        <xdr:graphicFrame macro="">
          <xdr:nvGraphicFramePr>
            <xdr:cNvPr id="30" name="Order Mode">
              <a:extLst>
                <a:ext uri="{FF2B5EF4-FFF2-40B4-BE49-F238E27FC236}">
                  <a16:creationId xmlns:a16="http://schemas.microsoft.com/office/drawing/2014/main" id="{E5300B99-B95F-46A5-A5E4-9BE48F53610A}"/>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68554" y="5830642"/>
              <a:ext cx="1830169" cy="1944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12</xdr:col>
      <xdr:colOff>569311</xdr:colOff>
      <xdr:row>1</xdr:row>
      <xdr:rowOff>175172</xdr:rowOff>
    </xdr:from>
    <xdr:ext cx="1741695" cy="311496"/>
    <xdr:sp macro="" textlink="">
      <xdr:nvSpPr>
        <xdr:cNvPr id="32" name="TextBox 31">
          <a:extLst>
            <a:ext uri="{FF2B5EF4-FFF2-40B4-BE49-F238E27FC236}">
              <a16:creationId xmlns:a16="http://schemas.microsoft.com/office/drawing/2014/main" id="{C2326927-F684-831A-22E4-A2479E2C7FBF}"/>
            </a:ext>
          </a:extLst>
        </xdr:cNvPr>
        <xdr:cNvSpPr txBox="1"/>
      </xdr:nvSpPr>
      <xdr:spPr>
        <a:xfrm>
          <a:off x="7718535" y="361293"/>
          <a:ext cx="174169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How they like to buy?</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ccess" refreshedDate="45996.639889930557" createdVersion="8" refreshedVersion="8" minRefreshableVersion="3" recordCount="2400" xr:uid="{B5E308BD-1EFE-4B55-A6D4-13DBD6D5B8DD}">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17001945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x v="0"/>
    <x v="0"/>
    <x v="0"/>
    <x v="0"/>
    <x v="0"/>
    <x v="0"/>
    <x v="0"/>
    <x v="0"/>
  </r>
  <r>
    <s v="TX500002"/>
    <x v="1"/>
    <x v="1"/>
    <n v="30.6"/>
    <n v="61.2"/>
    <x v="0"/>
    <d v="2025-01-03T00:00:00"/>
    <x v="1"/>
    <x v="0"/>
    <x v="0"/>
    <x v="0"/>
    <x v="1"/>
    <x v="1"/>
    <x v="0"/>
    <x v="1"/>
  </r>
  <r>
    <s v="TX500003"/>
    <x v="2"/>
    <x v="2"/>
    <n v="109.4"/>
    <n v="328.20000000000005"/>
    <x v="0"/>
    <d v="2025-01-04T00:00:00"/>
    <x v="2"/>
    <x v="0"/>
    <x v="1"/>
    <x v="0"/>
    <x v="2"/>
    <x v="2"/>
    <x v="0"/>
    <x v="2"/>
  </r>
  <r>
    <s v="TX500004"/>
    <x v="3"/>
    <x v="3"/>
    <n v="37.700000000000003"/>
    <n v="263.90000000000003"/>
    <x v="0"/>
    <d v="2025-01-02T00:00:00"/>
    <x v="2"/>
    <x v="0"/>
    <x v="0"/>
    <x v="0"/>
    <x v="2"/>
    <x v="3"/>
    <x v="0"/>
    <x v="2"/>
  </r>
  <r>
    <s v="TX500005"/>
    <x v="4"/>
    <x v="2"/>
    <n v="56.7"/>
    <n v="170.10000000000002"/>
    <x v="0"/>
    <d v="2025-01-04T00:00:00"/>
    <x v="2"/>
    <x v="0"/>
    <x v="2"/>
    <x v="0"/>
    <x v="3"/>
    <x v="2"/>
    <x v="0"/>
    <x v="2"/>
  </r>
  <r>
    <s v="TX500006"/>
    <x v="1"/>
    <x v="4"/>
    <n v="83.5"/>
    <n v="1002"/>
    <x v="0"/>
    <d v="2025-01-04T00:00:00"/>
    <x v="1"/>
    <x v="1"/>
    <x v="0"/>
    <x v="0"/>
    <x v="3"/>
    <x v="2"/>
    <x v="0"/>
    <x v="1"/>
  </r>
  <r>
    <s v="TX500007"/>
    <x v="5"/>
    <x v="0"/>
    <n v="55.3"/>
    <n v="55.3"/>
    <x v="0"/>
    <d v="2025-01-02T00:00:00"/>
    <x v="2"/>
    <x v="0"/>
    <x v="0"/>
    <x v="0"/>
    <x v="3"/>
    <x v="3"/>
    <x v="0"/>
    <x v="2"/>
  </r>
  <r>
    <s v="TX500008"/>
    <x v="6"/>
    <x v="1"/>
    <n v="40.299999999999997"/>
    <n v="80.599999999999994"/>
    <x v="0"/>
    <d v="2025-01-02T00:00:00"/>
    <x v="1"/>
    <x v="2"/>
    <x v="2"/>
    <x v="0"/>
    <x v="3"/>
    <x v="3"/>
    <x v="0"/>
    <x v="1"/>
  </r>
  <r>
    <s v="TX500009"/>
    <x v="7"/>
    <x v="5"/>
    <n v="35.700000000000003"/>
    <n v="392.70000000000005"/>
    <x v="0"/>
    <d v="2025-01-02T00:00:00"/>
    <x v="2"/>
    <x v="0"/>
    <x v="0"/>
    <x v="0"/>
    <x v="3"/>
    <x v="3"/>
    <x v="0"/>
    <x v="2"/>
  </r>
  <r>
    <s v="TX500010"/>
    <x v="8"/>
    <x v="3"/>
    <n v="22.4"/>
    <n v="156.79999999999998"/>
    <x v="0"/>
    <d v="2025-01-04T00:00:00"/>
    <x v="1"/>
    <x v="0"/>
    <x v="1"/>
    <x v="0"/>
    <x v="3"/>
    <x v="2"/>
    <x v="0"/>
    <x v="1"/>
  </r>
  <r>
    <s v="TX500011"/>
    <x v="9"/>
    <x v="1"/>
    <n v="54.4"/>
    <n v="108.8"/>
    <x v="0"/>
    <d v="2025-01-07T00:00:00"/>
    <x v="2"/>
    <x v="0"/>
    <x v="0"/>
    <x v="0"/>
    <x v="3"/>
    <x v="4"/>
    <x v="0"/>
    <x v="2"/>
  </r>
  <r>
    <s v="TX500012"/>
    <x v="9"/>
    <x v="1"/>
    <n v="49"/>
    <n v="98"/>
    <x v="0"/>
    <d v="2025-01-03T00:00:00"/>
    <x v="2"/>
    <x v="2"/>
    <x v="1"/>
    <x v="0"/>
    <x v="3"/>
    <x v="1"/>
    <x v="0"/>
    <x v="2"/>
  </r>
  <r>
    <s v="TX500013"/>
    <x v="5"/>
    <x v="3"/>
    <n v="118.6"/>
    <n v="830.19999999999993"/>
    <x v="0"/>
    <d v="2025-01-05T00:00:00"/>
    <x v="2"/>
    <x v="1"/>
    <x v="0"/>
    <x v="0"/>
    <x v="4"/>
    <x v="5"/>
    <x v="0"/>
    <x v="2"/>
  </r>
  <r>
    <s v="TX500014"/>
    <x v="6"/>
    <x v="6"/>
    <n v="88.4"/>
    <n v="2386.8000000000002"/>
    <x v="0"/>
    <d v="2025-01-08T00:00:00"/>
    <x v="1"/>
    <x v="3"/>
    <x v="0"/>
    <x v="0"/>
    <x v="5"/>
    <x v="6"/>
    <x v="0"/>
    <x v="1"/>
  </r>
  <r>
    <s v="TX500015"/>
    <x v="10"/>
    <x v="0"/>
    <n v="66.7"/>
    <n v="66.7"/>
    <x v="0"/>
    <d v="2025-01-04T00:00:00"/>
    <x v="1"/>
    <x v="0"/>
    <x v="0"/>
    <x v="0"/>
    <x v="6"/>
    <x v="2"/>
    <x v="0"/>
    <x v="1"/>
  </r>
  <r>
    <s v="TX500016"/>
    <x v="9"/>
    <x v="7"/>
    <n v="30.9"/>
    <n v="309"/>
    <x v="0"/>
    <d v="2025-01-02T00:00:00"/>
    <x v="1"/>
    <x v="1"/>
    <x v="2"/>
    <x v="0"/>
    <x v="6"/>
    <x v="3"/>
    <x v="0"/>
    <x v="1"/>
  </r>
  <r>
    <s v="TX500017"/>
    <x v="4"/>
    <x v="2"/>
    <n v="31.1"/>
    <n v="93.300000000000011"/>
    <x v="0"/>
    <d v="2025-01-02T00:00:00"/>
    <x v="2"/>
    <x v="0"/>
    <x v="1"/>
    <x v="0"/>
    <x v="6"/>
    <x v="3"/>
    <x v="0"/>
    <x v="2"/>
  </r>
  <r>
    <s v="TX500018"/>
    <x v="7"/>
    <x v="2"/>
    <n v="36.6"/>
    <n v="109.80000000000001"/>
    <x v="0"/>
    <d v="2025-01-04T00:00:00"/>
    <x v="2"/>
    <x v="0"/>
    <x v="0"/>
    <x v="0"/>
    <x v="7"/>
    <x v="2"/>
    <x v="0"/>
    <x v="2"/>
  </r>
  <r>
    <s v="TX500019"/>
    <x v="6"/>
    <x v="8"/>
    <n v="51.1"/>
    <n v="408.8"/>
    <x v="0"/>
    <d v="2025-01-04T00:00:00"/>
    <x v="2"/>
    <x v="2"/>
    <x v="3"/>
    <x v="0"/>
    <x v="7"/>
    <x v="2"/>
    <x v="0"/>
    <x v="2"/>
  </r>
  <r>
    <s v="TX500020"/>
    <x v="9"/>
    <x v="0"/>
    <n v="25.2"/>
    <n v="25.2"/>
    <x v="0"/>
    <d v="2025-01-02T00:00:00"/>
    <x v="2"/>
    <x v="1"/>
    <x v="2"/>
    <x v="0"/>
    <x v="8"/>
    <x v="3"/>
    <x v="0"/>
    <x v="2"/>
  </r>
  <r>
    <s v="TX500021"/>
    <x v="9"/>
    <x v="9"/>
    <n v="43.8"/>
    <n v="219"/>
    <x v="0"/>
    <d v="2025-01-04T00:00:00"/>
    <x v="2"/>
    <x v="2"/>
    <x v="0"/>
    <x v="0"/>
    <x v="8"/>
    <x v="2"/>
    <x v="0"/>
    <x v="2"/>
  </r>
  <r>
    <s v="TX500022"/>
    <x v="8"/>
    <x v="4"/>
    <n v="46.7"/>
    <n v="560.40000000000009"/>
    <x v="0"/>
    <d v="2025-01-02T00:00:00"/>
    <x v="2"/>
    <x v="1"/>
    <x v="1"/>
    <x v="0"/>
    <x v="8"/>
    <x v="3"/>
    <x v="0"/>
    <x v="2"/>
  </r>
  <r>
    <s v="TX500023"/>
    <x v="3"/>
    <x v="10"/>
    <n v="79.900000000000006"/>
    <n v="1518.1000000000001"/>
    <x v="0"/>
    <d v="2025-01-02T00:00:00"/>
    <x v="1"/>
    <x v="0"/>
    <x v="2"/>
    <x v="0"/>
    <x v="8"/>
    <x v="3"/>
    <x v="0"/>
    <x v="1"/>
  </r>
  <r>
    <s v="TX500024"/>
    <x v="11"/>
    <x v="8"/>
    <n v="26.4"/>
    <n v="211.2"/>
    <x v="0"/>
    <d v="2025-01-02T00:00:00"/>
    <x v="2"/>
    <x v="3"/>
    <x v="0"/>
    <x v="0"/>
    <x v="8"/>
    <x v="3"/>
    <x v="0"/>
    <x v="2"/>
  </r>
  <r>
    <s v="TX500025"/>
    <x v="12"/>
    <x v="8"/>
    <n v="88.8"/>
    <n v="710.4"/>
    <x v="0"/>
    <d v="2025-01-02T00:00:00"/>
    <x v="2"/>
    <x v="4"/>
    <x v="0"/>
    <x v="0"/>
    <x v="8"/>
    <x v="3"/>
    <x v="0"/>
    <x v="2"/>
  </r>
  <r>
    <s v="TX500026"/>
    <x v="0"/>
    <x v="7"/>
    <n v="17.5"/>
    <n v="175"/>
    <x v="0"/>
    <d v="2025-01-02T00:00:00"/>
    <x v="2"/>
    <x v="2"/>
    <x v="0"/>
    <x v="0"/>
    <x v="9"/>
    <x v="3"/>
    <x v="0"/>
    <x v="2"/>
  </r>
  <r>
    <s v="TX500027"/>
    <x v="1"/>
    <x v="11"/>
    <n v="38.700000000000003"/>
    <n v="348.3"/>
    <x v="0"/>
    <d v="2025-01-04T00:00:00"/>
    <x v="1"/>
    <x v="1"/>
    <x v="0"/>
    <x v="0"/>
    <x v="10"/>
    <x v="2"/>
    <x v="0"/>
    <x v="1"/>
  </r>
  <r>
    <s v="TX500028"/>
    <x v="13"/>
    <x v="12"/>
    <n v="57.2"/>
    <n v="228.8"/>
    <x v="0"/>
    <d v="2025-01-03T00:00:00"/>
    <x v="0"/>
    <x v="1"/>
    <x v="2"/>
    <x v="0"/>
    <x v="11"/>
    <x v="1"/>
    <x v="0"/>
    <x v="0"/>
  </r>
  <r>
    <s v="TX500029"/>
    <x v="6"/>
    <x v="9"/>
    <n v="50.9"/>
    <n v="254.5"/>
    <x v="0"/>
    <d v="2025-01-07T00:00:00"/>
    <x v="0"/>
    <x v="1"/>
    <x v="2"/>
    <x v="0"/>
    <x v="12"/>
    <x v="4"/>
    <x v="0"/>
    <x v="0"/>
  </r>
  <r>
    <s v="TX500030"/>
    <x v="14"/>
    <x v="3"/>
    <n v="41"/>
    <n v="287"/>
    <x v="0"/>
    <d v="2025-01-05T00:00:00"/>
    <x v="2"/>
    <x v="1"/>
    <x v="0"/>
    <x v="0"/>
    <x v="13"/>
    <x v="5"/>
    <x v="0"/>
    <x v="2"/>
  </r>
  <r>
    <s v="TX500031"/>
    <x v="8"/>
    <x v="3"/>
    <n v="19.100000000000001"/>
    <n v="133.70000000000002"/>
    <x v="0"/>
    <d v="2025-01-05T00:00:00"/>
    <x v="1"/>
    <x v="0"/>
    <x v="2"/>
    <x v="0"/>
    <x v="14"/>
    <x v="5"/>
    <x v="0"/>
    <x v="1"/>
  </r>
  <r>
    <s v="TX500032"/>
    <x v="2"/>
    <x v="9"/>
    <n v="166.1"/>
    <n v="830.5"/>
    <x v="0"/>
    <d v="2025-01-04T00:00:00"/>
    <x v="1"/>
    <x v="0"/>
    <x v="0"/>
    <x v="0"/>
    <x v="15"/>
    <x v="2"/>
    <x v="0"/>
    <x v="1"/>
  </r>
  <r>
    <s v="TX500033"/>
    <x v="4"/>
    <x v="2"/>
    <n v="29.9"/>
    <n v="89.699999999999989"/>
    <x v="0"/>
    <d v="2025-01-02T00:00:00"/>
    <x v="1"/>
    <x v="3"/>
    <x v="0"/>
    <x v="0"/>
    <x v="3"/>
    <x v="3"/>
    <x v="0"/>
    <x v="1"/>
  </r>
  <r>
    <s v="TX500034"/>
    <x v="10"/>
    <x v="13"/>
    <n v="21.7"/>
    <n v="130.19999999999999"/>
    <x v="0"/>
    <d v="2025-01-03T00:00:00"/>
    <x v="3"/>
    <x v="2"/>
    <x v="2"/>
    <x v="0"/>
    <x v="3"/>
    <x v="1"/>
    <x v="0"/>
    <x v="3"/>
  </r>
  <r>
    <s v="TX500035"/>
    <x v="11"/>
    <x v="1"/>
    <n v="32"/>
    <n v="64"/>
    <x v="0"/>
    <d v="2025-01-04T00:00:00"/>
    <x v="1"/>
    <x v="0"/>
    <x v="2"/>
    <x v="0"/>
    <x v="3"/>
    <x v="2"/>
    <x v="0"/>
    <x v="1"/>
  </r>
  <r>
    <s v="TX500036"/>
    <x v="8"/>
    <x v="1"/>
    <n v="15.8"/>
    <n v="31.6"/>
    <x v="0"/>
    <d v="2025-01-02T00:00:00"/>
    <x v="1"/>
    <x v="4"/>
    <x v="2"/>
    <x v="0"/>
    <x v="3"/>
    <x v="3"/>
    <x v="0"/>
    <x v="1"/>
  </r>
  <r>
    <s v="TX500037"/>
    <x v="2"/>
    <x v="14"/>
    <n v="203.1"/>
    <n v="3452.7"/>
    <x v="0"/>
    <d v="2025-01-05T00:00:00"/>
    <x v="1"/>
    <x v="3"/>
    <x v="1"/>
    <x v="0"/>
    <x v="3"/>
    <x v="5"/>
    <x v="0"/>
    <x v="1"/>
  </r>
  <r>
    <s v="TX500038"/>
    <x v="7"/>
    <x v="15"/>
    <n v="39"/>
    <n v="507"/>
    <x v="0"/>
    <d v="2025-01-07T00:00:00"/>
    <x v="1"/>
    <x v="0"/>
    <x v="2"/>
    <x v="0"/>
    <x v="3"/>
    <x v="4"/>
    <x v="0"/>
    <x v="1"/>
  </r>
  <r>
    <s v="TX500039"/>
    <x v="10"/>
    <x v="0"/>
    <n v="26.5"/>
    <n v="26.5"/>
    <x v="1"/>
    <d v="2025-01-03T00:00:00"/>
    <x v="1"/>
    <x v="2"/>
    <x v="0"/>
    <x v="0"/>
    <x v="3"/>
    <x v="3"/>
    <x v="0"/>
    <x v="1"/>
  </r>
  <r>
    <s v="TX500040"/>
    <x v="5"/>
    <x v="0"/>
    <n v="43.1"/>
    <n v="43.1"/>
    <x v="1"/>
    <d v="2025-01-03T00:00:00"/>
    <x v="2"/>
    <x v="2"/>
    <x v="1"/>
    <x v="0"/>
    <x v="3"/>
    <x v="3"/>
    <x v="0"/>
    <x v="2"/>
  </r>
  <r>
    <s v="TX500041"/>
    <x v="1"/>
    <x v="2"/>
    <n v="139"/>
    <n v="417"/>
    <x v="1"/>
    <d v="2025-01-03T00:00:00"/>
    <x v="2"/>
    <x v="4"/>
    <x v="2"/>
    <x v="0"/>
    <x v="3"/>
    <x v="3"/>
    <x v="0"/>
    <x v="2"/>
  </r>
  <r>
    <s v="TX500042"/>
    <x v="12"/>
    <x v="0"/>
    <n v="80.7"/>
    <n v="80.7"/>
    <x v="1"/>
    <d v="2025-01-03T00:00:00"/>
    <x v="1"/>
    <x v="0"/>
    <x v="2"/>
    <x v="0"/>
    <x v="16"/>
    <x v="3"/>
    <x v="0"/>
    <x v="1"/>
  </r>
  <r>
    <s v="TX500043"/>
    <x v="4"/>
    <x v="1"/>
    <n v="54.5"/>
    <n v="109"/>
    <x v="1"/>
    <d v="2025-01-04T00:00:00"/>
    <x v="1"/>
    <x v="1"/>
    <x v="1"/>
    <x v="0"/>
    <x v="6"/>
    <x v="1"/>
    <x v="0"/>
    <x v="1"/>
  </r>
  <r>
    <s v="TX500044"/>
    <x v="6"/>
    <x v="2"/>
    <n v="68.599999999999994"/>
    <n v="205.79999999999998"/>
    <x v="1"/>
    <d v="2025-01-02T00:00:00"/>
    <x v="2"/>
    <x v="0"/>
    <x v="1"/>
    <x v="0"/>
    <x v="8"/>
    <x v="7"/>
    <x v="0"/>
    <x v="2"/>
  </r>
  <r>
    <s v="TX500045"/>
    <x v="2"/>
    <x v="12"/>
    <n v="135.9"/>
    <n v="543.6"/>
    <x v="1"/>
    <d v="2025-01-03T00:00:00"/>
    <x v="2"/>
    <x v="2"/>
    <x v="2"/>
    <x v="0"/>
    <x v="8"/>
    <x v="3"/>
    <x v="0"/>
    <x v="2"/>
  </r>
  <r>
    <s v="TX500046"/>
    <x v="2"/>
    <x v="12"/>
    <n v="70.900000000000006"/>
    <n v="283.60000000000002"/>
    <x v="1"/>
    <d v="2025-01-03T00:00:00"/>
    <x v="2"/>
    <x v="0"/>
    <x v="0"/>
    <x v="0"/>
    <x v="17"/>
    <x v="3"/>
    <x v="0"/>
    <x v="2"/>
  </r>
  <r>
    <s v="TX500047"/>
    <x v="1"/>
    <x v="9"/>
    <n v="63.7"/>
    <n v="318.5"/>
    <x v="1"/>
    <d v="2025-01-03T00:00:00"/>
    <x v="1"/>
    <x v="1"/>
    <x v="1"/>
    <x v="0"/>
    <x v="9"/>
    <x v="3"/>
    <x v="0"/>
    <x v="1"/>
  </r>
  <r>
    <s v="TX500048"/>
    <x v="13"/>
    <x v="0"/>
    <n v="29.7"/>
    <n v="29.7"/>
    <x v="1"/>
    <d v="2025-01-04T00:00:00"/>
    <x v="2"/>
    <x v="1"/>
    <x v="0"/>
    <x v="0"/>
    <x v="11"/>
    <x v="1"/>
    <x v="0"/>
    <x v="2"/>
  </r>
  <r>
    <s v="TX500049"/>
    <x v="4"/>
    <x v="2"/>
    <n v="26.8"/>
    <n v="80.400000000000006"/>
    <x v="1"/>
    <d v="2025-01-11T00:00:00"/>
    <x v="2"/>
    <x v="1"/>
    <x v="2"/>
    <x v="0"/>
    <x v="11"/>
    <x v="8"/>
    <x v="0"/>
    <x v="2"/>
  </r>
  <r>
    <s v="TX500050"/>
    <x v="14"/>
    <x v="0"/>
    <n v="27"/>
    <n v="27"/>
    <x v="1"/>
    <d v="2025-01-04T00:00:00"/>
    <x v="2"/>
    <x v="0"/>
    <x v="0"/>
    <x v="0"/>
    <x v="18"/>
    <x v="1"/>
    <x v="0"/>
    <x v="2"/>
  </r>
  <r>
    <s v="TX500051"/>
    <x v="8"/>
    <x v="0"/>
    <n v="41.4"/>
    <n v="41.4"/>
    <x v="1"/>
    <d v="2025-01-03T00:00:00"/>
    <x v="1"/>
    <x v="1"/>
    <x v="2"/>
    <x v="0"/>
    <x v="19"/>
    <x v="3"/>
    <x v="0"/>
    <x v="1"/>
  </r>
  <r>
    <s v="TX500052"/>
    <x v="8"/>
    <x v="1"/>
    <n v="24.3"/>
    <n v="48.6"/>
    <x v="1"/>
    <d v="2025-01-05T00:00:00"/>
    <x v="2"/>
    <x v="1"/>
    <x v="0"/>
    <x v="0"/>
    <x v="19"/>
    <x v="2"/>
    <x v="0"/>
    <x v="2"/>
  </r>
  <r>
    <s v="TX500053"/>
    <x v="8"/>
    <x v="2"/>
    <n v="41.7"/>
    <n v="125.10000000000001"/>
    <x v="1"/>
    <d v="2025-01-04T00:00:00"/>
    <x v="1"/>
    <x v="0"/>
    <x v="2"/>
    <x v="0"/>
    <x v="20"/>
    <x v="1"/>
    <x v="0"/>
    <x v="1"/>
  </r>
  <r>
    <s v="TX500054"/>
    <x v="0"/>
    <x v="1"/>
    <n v="18"/>
    <n v="36"/>
    <x v="1"/>
    <d v="2025-01-03T00:00:00"/>
    <x v="2"/>
    <x v="0"/>
    <x v="2"/>
    <x v="0"/>
    <x v="21"/>
    <x v="3"/>
    <x v="0"/>
    <x v="2"/>
  </r>
  <r>
    <s v="TX500055"/>
    <x v="7"/>
    <x v="2"/>
    <n v="91.3"/>
    <n v="273.89999999999998"/>
    <x v="1"/>
    <d v="2025-01-05T00:00:00"/>
    <x v="1"/>
    <x v="2"/>
    <x v="2"/>
    <x v="0"/>
    <x v="3"/>
    <x v="2"/>
    <x v="0"/>
    <x v="1"/>
  </r>
  <r>
    <s v="TX500056"/>
    <x v="8"/>
    <x v="8"/>
    <n v="19.3"/>
    <n v="154.4"/>
    <x v="1"/>
    <d v="2025-01-03T00:00:00"/>
    <x v="1"/>
    <x v="0"/>
    <x v="0"/>
    <x v="0"/>
    <x v="3"/>
    <x v="3"/>
    <x v="0"/>
    <x v="1"/>
  </r>
  <r>
    <s v="TX500057"/>
    <x v="12"/>
    <x v="15"/>
    <n v="63.2"/>
    <n v="821.6"/>
    <x v="1"/>
    <d v="2025-01-03T00:00:00"/>
    <x v="2"/>
    <x v="0"/>
    <x v="0"/>
    <x v="0"/>
    <x v="3"/>
    <x v="3"/>
    <x v="0"/>
    <x v="2"/>
  </r>
  <r>
    <s v="TX500058"/>
    <x v="10"/>
    <x v="11"/>
    <n v="33.299999999999997"/>
    <n v="299.7"/>
    <x v="2"/>
    <d v="2025-01-11T00:00:00"/>
    <x v="2"/>
    <x v="0"/>
    <x v="2"/>
    <x v="0"/>
    <x v="3"/>
    <x v="9"/>
    <x v="0"/>
    <x v="2"/>
  </r>
  <r>
    <s v="TX500059"/>
    <x v="7"/>
    <x v="1"/>
    <n v="64.2"/>
    <n v="128.4"/>
    <x v="2"/>
    <d v="2025-01-04T00:00:00"/>
    <x v="1"/>
    <x v="0"/>
    <x v="2"/>
    <x v="0"/>
    <x v="3"/>
    <x v="3"/>
    <x v="0"/>
    <x v="1"/>
  </r>
  <r>
    <s v="TX500060"/>
    <x v="9"/>
    <x v="2"/>
    <n v="23.1"/>
    <n v="69.300000000000011"/>
    <x v="2"/>
    <d v="2025-01-06T00:00:00"/>
    <x v="2"/>
    <x v="1"/>
    <x v="2"/>
    <x v="0"/>
    <x v="3"/>
    <x v="2"/>
    <x v="0"/>
    <x v="2"/>
  </r>
  <r>
    <s v="TX500061"/>
    <x v="15"/>
    <x v="1"/>
    <n v="71.099999999999994"/>
    <n v="142.19999999999999"/>
    <x v="2"/>
    <d v="2025-01-05T00:00:00"/>
    <x v="2"/>
    <x v="3"/>
    <x v="1"/>
    <x v="0"/>
    <x v="3"/>
    <x v="1"/>
    <x v="0"/>
    <x v="2"/>
  </r>
  <r>
    <s v="TX500062"/>
    <x v="0"/>
    <x v="1"/>
    <n v="11.5"/>
    <n v="23"/>
    <x v="2"/>
    <d v="2025-01-04T00:00:00"/>
    <x v="2"/>
    <x v="0"/>
    <x v="0"/>
    <x v="0"/>
    <x v="3"/>
    <x v="3"/>
    <x v="0"/>
    <x v="2"/>
  </r>
  <r>
    <s v="TX500063"/>
    <x v="15"/>
    <x v="10"/>
    <n v="69.2"/>
    <n v="1314.8"/>
    <x v="2"/>
    <d v="2025-01-08T00:00:00"/>
    <x v="2"/>
    <x v="0"/>
    <x v="0"/>
    <x v="0"/>
    <x v="3"/>
    <x v="0"/>
    <x v="0"/>
    <x v="2"/>
  </r>
  <r>
    <s v="TX500064"/>
    <x v="0"/>
    <x v="0"/>
    <n v="26.8"/>
    <n v="26.8"/>
    <x v="2"/>
    <d v="2025-01-04T00:00:00"/>
    <x v="1"/>
    <x v="2"/>
    <x v="4"/>
    <x v="0"/>
    <x v="3"/>
    <x v="3"/>
    <x v="0"/>
    <x v="1"/>
  </r>
  <r>
    <s v="TX500065"/>
    <x v="16"/>
    <x v="2"/>
    <n v="31.2"/>
    <n v="93.6"/>
    <x v="2"/>
    <d v="2025-01-06T00:00:00"/>
    <x v="2"/>
    <x v="0"/>
    <x v="0"/>
    <x v="0"/>
    <x v="3"/>
    <x v="2"/>
    <x v="0"/>
    <x v="2"/>
  </r>
  <r>
    <s v="TX500066"/>
    <x v="12"/>
    <x v="1"/>
    <n v="113.2"/>
    <n v="226.4"/>
    <x v="2"/>
    <d v="2025-01-04T00:00:00"/>
    <x v="2"/>
    <x v="4"/>
    <x v="0"/>
    <x v="0"/>
    <x v="3"/>
    <x v="3"/>
    <x v="0"/>
    <x v="2"/>
  </r>
  <r>
    <s v="TX500067"/>
    <x v="10"/>
    <x v="8"/>
    <n v="21"/>
    <n v="168"/>
    <x v="2"/>
    <d v="2025-01-04T00:00:00"/>
    <x v="1"/>
    <x v="0"/>
    <x v="0"/>
    <x v="0"/>
    <x v="6"/>
    <x v="3"/>
    <x v="0"/>
    <x v="1"/>
  </r>
  <r>
    <s v="TX500068"/>
    <x v="1"/>
    <x v="1"/>
    <n v="89.1"/>
    <n v="178.2"/>
    <x v="2"/>
    <d v="2025-01-04T00:00:00"/>
    <x v="2"/>
    <x v="2"/>
    <x v="2"/>
    <x v="0"/>
    <x v="6"/>
    <x v="3"/>
    <x v="0"/>
    <x v="2"/>
  </r>
  <r>
    <s v="TX500069"/>
    <x v="1"/>
    <x v="0"/>
    <n v="97.7"/>
    <n v="97.7"/>
    <x v="2"/>
    <d v="2025-01-05T00:00:00"/>
    <x v="2"/>
    <x v="0"/>
    <x v="1"/>
    <x v="0"/>
    <x v="6"/>
    <x v="1"/>
    <x v="0"/>
    <x v="2"/>
  </r>
  <r>
    <s v="TX500070"/>
    <x v="15"/>
    <x v="12"/>
    <n v="97.7"/>
    <n v="390.8"/>
    <x v="2"/>
    <d v="2025-01-05T00:00:00"/>
    <x v="1"/>
    <x v="3"/>
    <x v="0"/>
    <x v="0"/>
    <x v="6"/>
    <x v="1"/>
    <x v="0"/>
    <x v="1"/>
  </r>
  <r>
    <s v="TX500071"/>
    <x v="17"/>
    <x v="2"/>
    <n v="47.4"/>
    <n v="142.19999999999999"/>
    <x v="2"/>
    <d v="2025-01-06T00:00:00"/>
    <x v="1"/>
    <x v="3"/>
    <x v="2"/>
    <x v="0"/>
    <x v="8"/>
    <x v="2"/>
    <x v="0"/>
    <x v="1"/>
  </r>
  <r>
    <s v="TX500072"/>
    <x v="7"/>
    <x v="0"/>
    <n v="89.6"/>
    <n v="89.6"/>
    <x v="2"/>
    <d v="2025-01-06T00:00:00"/>
    <x v="2"/>
    <x v="0"/>
    <x v="2"/>
    <x v="0"/>
    <x v="8"/>
    <x v="2"/>
    <x v="0"/>
    <x v="2"/>
  </r>
  <r>
    <s v="TX500073"/>
    <x v="10"/>
    <x v="16"/>
    <n v="28.4"/>
    <n v="511.2"/>
    <x v="2"/>
    <d v="2025-01-06T00:00:00"/>
    <x v="2"/>
    <x v="3"/>
    <x v="2"/>
    <x v="0"/>
    <x v="17"/>
    <x v="2"/>
    <x v="0"/>
    <x v="2"/>
  </r>
  <r>
    <s v="TX500074"/>
    <x v="0"/>
    <x v="1"/>
    <n v="17.899999999999999"/>
    <n v="35.799999999999997"/>
    <x v="2"/>
    <d v="2025-01-04T00:00:00"/>
    <x v="2"/>
    <x v="0"/>
    <x v="2"/>
    <x v="0"/>
    <x v="9"/>
    <x v="3"/>
    <x v="0"/>
    <x v="2"/>
  </r>
  <r>
    <s v="TX500075"/>
    <x v="9"/>
    <x v="1"/>
    <n v="48.4"/>
    <n v="96.8"/>
    <x v="2"/>
    <d v="2025-01-06T00:00:00"/>
    <x v="1"/>
    <x v="1"/>
    <x v="0"/>
    <x v="0"/>
    <x v="9"/>
    <x v="2"/>
    <x v="0"/>
    <x v="1"/>
  </r>
  <r>
    <s v="TX500076"/>
    <x v="12"/>
    <x v="12"/>
    <n v="44.4"/>
    <n v="177.6"/>
    <x v="2"/>
    <d v="2025-01-04T00:00:00"/>
    <x v="3"/>
    <x v="1"/>
    <x v="1"/>
    <x v="0"/>
    <x v="11"/>
    <x v="3"/>
    <x v="0"/>
    <x v="3"/>
  </r>
  <r>
    <s v="TX500077"/>
    <x v="2"/>
    <x v="8"/>
    <n v="103.7"/>
    <n v="829.6"/>
    <x v="2"/>
    <d v="2025-01-04T00:00:00"/>
    <x v="2"/>
    <x v="0"/>
    <x v="1"/>
    <x v="0"/>
    <x v="19"/>
    <x v="3"/>
    <x v="0"/>
    <x v="2"/>
  </r>
  <r>
    <s v="TX500078"/>
    <x v="5"/>
    <x v="12"/>
    <n v="58.6"/>
    <n v="234.4"/>
    <x v="2"/>
    <d v="2025-01-05T00:00:00"/>
    <x v="1"/>
    <x v="3"/>
    <x v="0"/>
    <x v="0"/>
    <x v="19"/>
    <x v="1"/>
    <x v="0"/>
    <x v="1"/>
  </r>
  <r>
    <s v="TX500079"/>
    <x v="9"/>
    <x v="12"/>
    <n v="54.8"/>
    <n v="219.2"/>
    <x v="2"/>
    <d v="2025-01-07T00:00:00"/>
    <x v="2"/>
    <x v="2"/>
    <x v="1"/>
    <x v="0"/>
    <x v="13"/>
    <x v="5"/>
    <x v="0"/>
    <x v="2"/>
  </r>
  <r>
    <s v="TX500080"/>
    <x v="12"/>
    <x v="2"/>
    <n v="78.8"/>
    <n v="236.39999999999998"/>
    <x v="2"/>
    <d v="2025-01-09T00:00:00"/>
    <x v="2"/>
    <x v="4"/>
    <x v="1"/>
    <x v="0"/>
    <x v="21"/>
    <x v="4"/>
    <x v="0"/>
    <x v="2"/>
  </r>
  <r>
    <s v="TX500081"/>
    <x v="18"/>
    <x v="9"/>
    <n v="36.799999999999997"/>
    <n v="184"/>
    <x v="2"/>
    <d v="2025-01-06T00:00:00"/>
    <x v="1"/>
    <x v="4"/>
    <x v="1"/>
    <x v="0"/>
    <x v="22"/>
    <x v="2"/>
    <x v="0"/>
    <x v="1"/>
  </r>
  <r>
    <s v="TX500082"/>
    <x v="6"/>
    <x v="13"/>
    <n v="50.6"/>
    <n v="303.60000000000002"/>
    <x v="2"/>
    <d v="2025-01-05T00:00:00"/>
    <x v="2"/>
    <x v="3"/>
    <x v="0"/>
    <x v="0"/>
    <x v="3"/>
    <x v="1"/>
    <x v="0"/>
    <x v="2"/>
  </r>
  <r>
    <s v="TX500083"/>
    <x v="15"/>
    <x v="2"/>
    <n v="36.799999999999997"/>
    <n v="110.39999999999999"/>
    <x v="2"/>
    <d v="2025-01-03T00:00:00"/>
    <x v="1"/>
    <x v="2"/>
    <x v="1"/>
    <x v="0"/>
    <x v="3"/>
    <x v="7"/>
    <x v="0"/>
    <x v="1"/>
  </r>
  <r>
    <s v="TX500084"/>
    <x v="8"/>
    <x v="11"/>
    <n v="41.8"/>
    <n v="376.2"/>
    <x v="3"/>
    <d v="2025-01-10T00:00:00"/>
    <x v="2"/>
    <x v="3"/>
    <x v="0"/>
    <x v="0"/>
    <x v="3"/>
    <x v="4"/>
    <x v="0"/>
    <x v="2"/>
  </r>
  <r>
    <s v="TX500085"/>
    <x v="18"/>
    <x v="0"/>
    <n v="77.3"/>
    <n v="77.3"/>
    <x v="3"/>
    <d v="2025-01-05T00:00:00"/>
    <x v="1"/>
    <x v="4"/>
    <x v="4"/>
    <x v="0"/>
    <x v="3"/>
    <x v="3"/>
    <x v="0"/>
    <x v="1"/>
  </r>
  <r>
    <s v="TX500086"/>
    <x v="8"/>
    <x v="12"/>
    <n v="19.8"/>
    <n v="79.2"/>
    <x v="3"/>
    <d v="2025-01-10T00:00:00"/>
    <x v="1"/>
    <x v="1"/>
    <x v="2"/>
    <x v="0"/>
    <x v="3"/>
    <x v="4"/>
    <x v="0"/>
    <x v="1"/>
  </r>
  <r>
    <s v="TX500087"/>
    <x v="13"/>
    <x v="12"/>
    <n v="15.5"/>
    <n v="62"/>
    <x v="3"/>
    <d v="2025-01-05T00:00:00"/>
    <x v="2"/>
    <x v="1"/>
    <x v="2"/>
    <x v="0"/>
    <x v="3"/>
    <x v="3"/>
    <x v="0"/>
    <x v="2"/>
  </r>
  <r>
    <s v="TX500088"/>
    <x v="12"/>
    <x v="0"/>
    <n v="46.8"/>
    <n v="46.8"/>
    <x v="3"/>
    <d v="2025-01-08T00:00:00"/>
    <x v="1"/>
    <x v="0"/>
    <x v="2"/>
    <x v="0"/>
    <x v="3"/>
    <x v="5"/>
    <x v="0"/>
    <x v="1"/>
  </r>
  <r>
    <s v="TX500089"/>
    <x v="9"/>
    <x v="11"/>
    <n v="28.6"/>
    <n v="257.40000000000003"/>
    <x v="3"/>
    <d v="2025-01-08T00:00:00"/>
    <x v="1"/>
    <x v="0"/>
    <x v="2"/>
    <x v="0"/>
    <x v="3"/>
    <x v="5"/>
    <x v="0"/>
    <x v="1"/>
  </r>
  <r>
    <s v="TX500090"/>
    <x v="2"/>
    <x v="0"/>
    <n v="97.7"/>
    <n v="97.7"/>
    <x v="3"/>
    <d v="2025-01-07T00:00:00"/>
    <x v="2"/>
    <x v="1"/>
    <x v="0"/>
    <x v="0"/>
    <x v="3"/>
    <x v="2"/>
    <x v="0"/>
    <x v="2"/>
  </r>
  <r>
    <s v="TX500091"/>
    <x v="9"/>
    <x v="9"/>
    <n v="54.7"/>
    <n v="273.5"/>
    <x v="3"/>
    <d v="2025-01-07T00:00:00"/>
    <x v="0"/>
    <x v="0"/>
    <x v="2"/>
    <x v="0"/>
    <x v="23"/>
    <x v="2"/>
    <x v="0"/>
    <x v="0"/>
  </r>
  <r>
    <s v="TX500092"/>
    <x v="2"/>
    <x v="13"/>
    <n v="130.5"/>
    <n v="783"/>
    <x v="3"/>
    <d v="2025-01-06T00:00:00"/>
    <x v="2"/>
    <x v="0"/>
    <x v="1"/>
    <x v="0"/>
    <x v="23"/>
    <x v="1"/>
    <x v="0"/>
    <x v="2"/>
  </r>
  <r>
    <s v="TX500093"/>
    <x v="11"/>
    <x v="1"/>
    <n v="50.4"/>
    <n v="100.8"/>
    <x v="3"/>
    <d v="2025-01-06T00:00:00"/>
    <x v="1"/>
    <x v="2"/>
    <x v="2"/>
    <x v="0"/>
    <x v="6"/>
    <x v="1"/>
    <x v="0"/>
    <x v="1"/>
  </r>
  <r>
    <s v="TX500094"/>
    <x v="6"/>
    <x v="15"/>
    <n v="61.5"/>
    <n v="799.5"/>
    <x v="3"/>
    <d v="2025-01-05T00:00:00"/>
    <x v="0"/>
    <x v="3"/>
    <x v="1"/>
    <x v="0"/>
    <x v="11"/>
    <x v="3"/>
    <x v="0"/>
    <x v="0"/>
  </r>
  <r>
    <s v="TX500095"/>
    <x v="9"/>
    <x v="12"/>
    <n v="30.1"/>
    <n v="120.4"/>
    <x v="3"/>
    <d v="2025-01-05T00:00:00"/>
    <x v="2"/>
    <x v="0"/>
    <x v="2"/>
    <x v="0"/>
    <x v="21"/>
    <x v="3"/>
    <x v="0"/>
    <x v="2"/>
  </r>
  <r>
    <s v="TX500096"/>
    <x v="2"/>
    <x v="9"/>
    <n v="74.8"/>
    <n v="374"/>
    <x v="3"/>
    <d v="2025-01-05T00:00:00"/>
    <x v="2"/>
    <x v="1"/>
    <x v="0"/>
    <x v="0"/>
    <x v="1"/>
    <x v="3"/>
    <x v="0"/>
    <x v="2"/>
  </r>
  <r>
    <s v="TX500097"/>
    <x v="16"/>
    <x v="2"/>
    <n v="64.900000000000006"/>
    <n v="194.70000000000002"/>
    <x v="3"/>
    <d v="2025-01-11T00:00:00"/>
    <x v="1"/>
    <x v="0"/>
    <x v="0"/>
    <x v="0"/>
    <x v="2"/>
    <x v="6"/>
    <x v="0"/>
    <x v="1"/>
  </r>
  <r>
    <s v="TX500098"/>
    <x v="9"/>
    <x v="1"/>
    <n v="50.5"/>
    <n v="101"/>
    <x v="3"/>
    <d v="2025-01-06T00:00:00"/>
    <x v="1"/>
    <x v="1"/>
    <x v="0"/>
    <x v="0"/>
    <x v="22"/>
    <x v="1"/>
    <x v="0"/>
    <x v="1"/>
  </r>
  <r>
    <s v="TX500099"/>
    <x v="11"/>
    <x v="3"/>
    <n v="63"/>
    <n v="441"/>
    <x v="3"/>
    <d v="2025-01-07T00:00:00"/>
    <x v="1"/>
    <x v="3"/>
    <x v="2"/>
    <x v="0"/>
    <x v="3"/>
    <x v="2"/>
    <x v="0"/>
    <x v="1"/>
  </r>
  <r>
    <s v="TX500100"/>
    <x v="2"/>
    <x v="2"/>
    <n v="93.6"/>
    <n v="280.79999999999995"/>
    <x v="3"/>
    <d v="2025-01-17T00:00:00"/>
    <x v="2"/>
    <x v="0"/>
    <x v="2"/>
    <x v="0"/>
    <x v="3"/>
    <x v="10"/>
    <x v="0"/>
    <x v="2"/>
  </r>
  <r>
    <s v="TX500101"/>
    <x v="5"/>
    <x v="17"/>
    <n v="41.4"/>
    <n v="1242"/>
    <x v="3"/>
    <d v="2025-01-08T00:00:00"/>
    <x v="1"/>
    <x v="2"/>
    <x v="2"/>
    <x v="0"/>
    <x v="3"/>
    <x v="5"/>
    <x v="0"/>
    <x v="1"/>
  </r>
  <r>
    <s v="TX500102"/>
    <x v="2"/>
    <x v="1"/>
    <n v="160"/>
    <n v="320"/>
    <x v="4"/>
    <d v="2025-01-06T00:00:00"/>
    <x v="1"/>
    <x v="2"/>
    <x v="2"/>
    <x v="0"/>
    <x v="5"/>
    <x v="3"/>
    <x v="1"/>
    <x v="1"/>
  </r>
  <r>
    <s v="TX500103"/>
    <x v="19"/>
    <x v="5"/>
    <n v="10.5"/>
    <n v="115.5"/>
    <x v="4"/>
    <d v="2025-01-08T00:00:00"/>
    <x v="2"/>
    <x v="4"/>
    <x v="0"/>
    <x v="0"/>
    <x v="8"/>
    <x v="2"/>
    <x v="1"/>
    <x v="2"/>
  </r>
  <r>
    <s v="TX500104"/>
    <x v="10"/>
    <x v="1"/>
    <n v="53"/>
    <n v="106"/>
    <x v="4"/>
    <d v="2025-01-05T00:00:00"/>
    <x v="1"/>
    <x v="2"/>
    <x v="4"/>
    <x v="0"/>
    <x v="17"/>
    <x v="7"/>
    <x v="1"/>
    <x v="1"/>
  </r>
  <r>
    <s v="TX500105"/>
    <x v="8"/>
    <x v="2"/>
    <n v="18.5"/>
    <n v="55.5"/>
    <x v="4"/>
    <d v="2025-01-10T00:00:00"/>
    <x v="2"/>
    <x v="1"/>
    <x v="2"/>
    <x v="0"/>
    <x v="11"/>
    <x v="0"/>
    <x v="1"/>
    <x v="2"/>
  </r>
  <r>
    <s v="TX500106"/>
    <x v="16"/>
    <x v="2"/>
    <n v="84.5"/>
    <n v="253.5"/>
    <x v="4"/>
    <d v="2025-01-07T00:00:00"/>
    <x v="2"/>
    <x v="4"/>
    <x v="1"/>
    <x v="0"/>
    <x v="13"/>
    <x v="1"/>
    <x v="1"/>
    <x v="2"/>
  </r>
  <r>
    <s v="TX500107"/>
    <x v="15"/>
    <x v="3"/>
    <n v="31.2"/>
    <n v="218.4"/>
    <x v="4"/>
    <d v="2025-01-05T00:00:00"/>
    <x v="2"/>
    <x v="2"/>
    <x v="2"/>
    <x v="0"/>
    <x v="3"/>
    <x v="7"/>
    <x v="1"/>
    <x v="2"/>
  </r>
  <r>
    <s v="TX500108"/>
    <x v="8"/>
    <x v="16"/>
    <n v="32.6"/>
    <n v="586.80000000000007"/>
    <x v="4"/>
    <d v="2025-01-06T00:00:00"/>
    <x v="1"/>
    <x v="1"/>
    <x v="1"/>
    <x v="0"/>
    <x v="3"/>
    <x v="3"/>
    <x v="1"/>
    <x v="1"/>
  </r>
  <r>
    <s v="TX500109"/>
    <x v="10"/>
    <x v="12"/>
    <n v="45.4"/>
    <n v="181.6"/>
    <x v="4"/>
    <d v="2025-01-07T00:00:00"/>
    <x v="1"/>
    <x v="1"/>
    <x v="0"/>
    <x v="0"/>
    <x v="3"/>
    <x v="1"/>
    <x v="1"/>
    <x v="1"/>
  </r>
  <r>
    <s v="TX500110"/>
    <x v="2"/>
    <x v="4"/>
    <n v="120"/>
    <n v="1440"/>
    <x v="4"/>
    <d v="2025-01-06T00:00:00"/>
    <x v="2"/>
    <x v="2"/>
    <x v="4"/>
    <x v="0"/>
    <x v="3"/>
    <x v="3"/>
    <x v="1"/>
    <x v="2"/>
  </r>
  <r>
    <s v="TX500111"/>
    <x v="0"/>
    <x v="12"/>
    <n v="18.899999999999999"/>
    <n v="75.599999999999994"/>
    <x v="4"/>
    <d v="2025-01-07T00:00:00"/>
    <x v="1"/>
    <x v="0"/>
    <x v="2"/>
    <x v="0"/>
    <x v="3"/>
    <x v="1"/>
    <x v="1"/>
    <x v="1"/>
  </r>
  <r>
    <s v="TX500112"/>
    <x v="4"/>
    <x v="0"/>
    <n v="32"/>
    <n v="32"/>
    <x v="4"/>
    <d v="2025-01-07T00:00:00"/>
    <x v="2"/>
    <x v="4"/>
    <x v="0"/>
    <x v="0"/>
    <x v="3"/>
    <x v="1"/>
    <x v="1"/>
    <x v="2"/>
  </r>
  <r>
    <s v="TX500113"/>
    <x v="7"/>
    <x v="1"/>
    <n v="37.299999999999997"/>
    <n v="74.599999999999994"/>
    <x v="4"/>
    <d v="2025-01-06T00:00:00"/>
    <x v="1"/>
    <x v="2"/>
    <x v="0"/>
    <x v="0"/>
    <x v="3"/>
    <x v="3"/>
    <x v="1"/>
    <x v="1"/>
  </r>
  <r>
    <s v="TX500114"/>
    <x v="18"/>
    <x v="0"/>
    <n v="119.8"/>
    <n v="119.8"/>
    <x v="4"/>
    <d v="2025-01-06T00:00:00"/>
    <x v="1"/>
    <x v="1"/>
    <x v="1"/>
    <x v="0"/>
    <x v="3"/>
    <x v="3"/>
    <x v="1"/>
    <x v="1"/>
  </r>
  <r>
    <s v="TX500115"/>
    <x v="10"/>
    <x v="1"/>
    <n v="26.4"/>
    <n v="52.8"/>
    <x v="4"/>
    <d v="2025-01-08T00:00:00"/>
    <x v="1"/>
    <x v="2"/>
    <x v="0"/>
    <x v="0"/>
    <x v="3"/>
    <x v="2"/>
    <x v="1"/>
    <x v="1"/>
  </r>
  <r>
    <s v="TX500116"/>
    <x v="6"/>
    <x v="13"/>
    <n v="76.5"/>
    <n v="459"/>
    <x v="4"/>
    <d v="2025-01-06T00:00:00"/>
    <x v="2"/>
    <x v="1"/>
    <x v="1"/>
    <x v="0"/>
    <x v="3"/>
    <x v="3"/>
    <x v="1"/>
    <x v="2"/>
  </r>
  <r>
    <s v="TX500117"/>
    <x v="4"/>
    <x v="7"/>
    <n v="45.7"/>
    <n v="457"/>
    <x v="4"/>
    <d v="2025-01-06T00:00:00"/>
    <x v="2"/>
    <x v="2"/>
    <x v="0"/>
    <x v="0"/>
    <x v="24"/>
    <x v="3"/>
    <x v="1"/>
    <x v="2"/>
  </r>
  <r>
    <s v="TX500118"/>
    <x v="1"/>
    <x v="4"/>
    <n v="92.6"/>
    <n v="1111.1999999999998"/>
    <x v="4"/>
    <d v="2025-01-07T00:00:00"/>
    <x v="2"/>
    <x v="2"/>
    <x v="0"/>
    <x v="0"/>
    <x v="25"/>
    <x v="1"/>
    <x v="1"/>
    <x v="2"/>
  </r>
  <r>
    <s v="TX500119"/>
    <x v="6"/>
    <x v="13"/>
    <n v="60.1"/>
    <n v="360.6"/>
    <x v="4"/>
    <d v="2025-01-06T00:00:00"/>
    <x v="1"/>
    <x v="1"/>
    <x v="0"/>
    <x v="0"/>
    <x v="23"/>
    <x v="3"/>
    <x v="1"/>
    <x v="1"/>
  </r>
  <r>
    <s v="TX500120"/>
    <x v="1"/>
    <x v="2"/>
    <n v="73"/>
    <n v="219"/>
    <x v="4"/>
    <d v="2025-01-06T00:00:00"/>
    <x v="2"/>
    <x v="3"/>
    <x v="1"/>
    <x v="0"/>
    <x v="6"/>
    <x v="3"/>
    <x v="1"/>
    <x v="2"/>
  </r>
  <r>
    <s v="TX500121"/>
    <x v="6"/>
    <x v="2"/>
    <n v="44.3"/>
    <n v="132.89999999999998"/>
    <x v="4"/>
    <d v="2025-01-09T00:00:00"/>
    <x v="0"/>
    <x v="2"/>
    <x v="2"/>
    <x v="0"/>
    <x v="6"/>
    <x v="5"/>
    <x v="1"/>
    <x v="0"/>
  </r>
  <r>
    <s v="TX500122"/>
    <x v="6"/>
    <x v="2"/>
    <n v="63.3"/>
    <n v="189.89999999999998"/>
    <x v="4"/>
    <d v="2025-01-06T00:00:00"/>
    <x v="1"/>
    <x v="2"/>
    <x v="0"/>
    <x v="0"/>
    <x v="6"/>
    <x v="3"/>
    <x v="1"/>
    <x v="1"/>
  </r>
  <r>
    <s v="TX500123"/>
    <x v="12"/>
    <x v="0"/>
    <n v="66.8"/>
    <n v="66.8"/>
    <x v="4"/>
    <d v="2025-01-06T00:00:00"/>
    <x v="2"/>
    <x v="1"/>
    <x v="0"/>
    <x v="0"/>
    <x v="6"/>
    <x v="3"/>
    <x v="1"/>
    <x v="2"/>
  </r>
  <r>
    <s v="TX500124"/>
    <x v="2"/>
    <x v="1"/>
    <n v="59.7"/>
    <n v="119.4"/>
    <x v="4"/>
    <d v="2025-01-06T00:00:00"/>
    <x v="2"/>
    <x v="0"/>
    <x v="0"/>
    <x v="0"/>
    <x v="7"/>
    <x v="3"/>
    <x v="1"/>
    <x v="2"/>
  </r>
  <r>
    <s v="TX500125"/>
    <x v="1"/>
    <x v="13"/>
    <n v="92"/>
    <n v="552"/>
    <x v="4"/>
    <d v="2025-01-07T00:00:00"/>
    <x v="1"/>
    <x v="0"/>
    <x v="4"/>
    <x v="0"/>
    <x v="7"/>
    <x v="1"/>
    <x v="1"/>
    <x v="1"/>
  </r>
  <r>
    <s v="TX500126"/>
    <x v="7"/>
    <x v="1"/>
    <n v="87.6"/>
    <n v="175.2"/>
    <x v="4"/>
    <d v="2025-01-07T00:00:00"/>
    <x v="1"/>
    <x v="1"/>
    <x v="1"/>
    <x v="0"/>
    <x v="8"/>
    <x v="1"/>
    <x v="1"/>
    <x v="1"/>
  </r>
  <r>
    <s v="TX500127"/>
    <x v="6"/>
    <x v="2"/>
    <n v="84.5"/>
    <n v="253.5"/>
    <x v="4"/>
    <d v="2025-01-06T00:00:00"/>
    <x v="2"/>
    <x v="1"/>
    <x v="1"/>
    <x v="0"/>
    <x v="8"/>
    <x v="3"/>
    <x v="1"/>
    <x v="2"/>
  </r>
  <r>
    <s v="TX500128"/>
    <x v="1"/>
    <x v="1"/>
    <n v="116.3"/>
    <n v="232.6"/>
    <x v="5"/>
    <d v="2025-01-08T00:00:00"/>
    <x v="1"/>
    <x v="2"/>
    <x v="2"/>
    <x v="0"/>
    <x v="8"/>
    <x v="1"/>
    <x v="1"/>
    <x v="1"/>
  </r>
  <r>
    <s v="TX500129"/>
    <x v="6"/>
    <x v="9"/>
    <n v="52.7"/>
    <n v="263.5"/>
    <x v="5"/>
    <d v="2025-01-10T00:00:00"/>
    <x v="1"/>
    <x v="0"/>
    <x v="0"/>
    <x v="0"/>
    <x v="8"/>
    <x v="5"/>
    <x v="1"/>
    <x v="1"/>
  </r>
  <r>
    <s v="TX500130"/>
    <x v="16"/>
    <x v="2"/>
    <n v="34.200000000000003"/>
    <n v="102.60000000000001"/>
    <x v="5"/>
    <d v="2025-01-07T00:00:00"/>
    <x v="1"/>
    <x v="0"/>
    <x v="2"/>
    <x v="0"/>
    <x v="26"/>
    <x v="3"/>
    <x v="1"/>
    <x v="1"/>
  </r>
  <r>
    <s v="TX500131"/>
    <x v="9"/>
    <x v="0"/>
    <n v="23.3"/>
    <n v="23.3"/>
    <x v="5"/>
    <d v="2025-01-15T00:00:00"/>
    <x v="3"/>
    <x v="2"/>
    <x v="2"/>
    <x v="0"/>
    <x v="9"/>
    <x v="8"/>
    <x v="1"/>
    <x v="3"/>
  </r>
  <r>
    <s v="TX500132"/>
    <x v="0"/>
    <x v="18"/>
    <n v="25.9"/>
    <n v="673.4"/>
    <x v="5"/>
    <d v="2025-01-09T00:00:00"/>
    <x v="2"/>
    <x v="4"/>
    <x v="1"/>
    <x v="0"/>
    <x v="9"/>
    <x v="2"/>
    <x v="1"/>
    <x v="2"/>
  </r>
  <r>
    <s v="TX500133"/>
    <x v="6"/>
    <x v="19"/>
    <n v="54.9"/>
    <n v="1592.1"/>
    <x v="5"/>
    <d v="2025-01-07T00:00:00"/>
    <x v="1"/>
    <x v="1"/>
    <x v="2"/>
    <x v="0"/>
    <x v="9"/>
    <x v="3"/>
    <x v="1"/>
    <x v="1"/>
  </r>
  <r>
    <s v="TX500134"/>
    <x v="5"/>
    <x v="2"/>
    <n v="75.8"/>
    <n v="227.39999999999998"/>
    <x v="5"/>
    <d v="2025-01-11T00:00:00"/>
    <x v="3"/>
    <x v="1"/>
    <x v="0"/>
    <x v="0"/>
    <x v="18"/>
    <x v="0"/>
    <x v="1"/>
    <x v="3"/>
  </r>
  <r>
    <s v="TX500135"/>
    <x v="1"/>
    <x v="11"/>
    <n v="44.9"/>
    <n v="404.09999999999997"/>
    <x v="5"/>
    <d v="2025-01-09T00:00:00"/>
    <x v="2"/>
    <x v="2"/>
    <x v="2"/>
    <x v="0"/>
    <x v="2"/>
    <x v="2"/>
    <x v="1"/>
    <x v="2"/>
  </r>
  <r>
    <s v="TX500136"/>
    <x v="11"/>
    <x v="1"/>
    <n v="48.8"/>
    <n v="97.6"/>
    <x v="5"/>
    <d v="2025-01-08T00:00:00"/>
    <x v="2"/>
    <x v="3"/>
    <x v="0"/>
    <x v="0"/>
    <x v="27"/>
    <x v="1"/>
    <x v="1"/>
    <x v="2"/>
  </r>
  <r>
    <s v="TX500137"/>
    <x v="15"/>
    <x v="0"/>
    <n v="20.3"/>
    <n v="20.3"/>
    <x v="5"/>
    <d v="2025-01-07T00:00:00"/>
    <x v="2"/>
    <x v="0"/>
    <x v="2"/>
    <x v="0"/>
    <x v="22"/>
    <x v="3"/>
    <x v="1"/>
    <x v="2"/>
  </r>
  <r>
    <s v="TX500138"/>
    <x v="5"/>
    <x v="3"/>
    <n v="36.4"/>
    <n v="254.79999999999998"/>
    <x v="5"/>
    <d v="2025-01-09T00:00:00"/>
    <x v="2"/>
    <x v="0"/>
    <x v="1"/>
    <x v="0"/>
    <x v="3"/>
    <x v="2"/>
    <x v="1"/>
    <x v="2"/>
  </r>
  <r>
    <s v="TX500139"/>
    <x v="0"/>
    <x v="0"/>
    <n v="19"/>
    <n v="19"/>
    <x v="5"/>
    <d v="2025-01-11T00:00:00"/>
    <x v="2"/>
    <x v="1"/>
    <x v="2"/>
    <x v="0"/>
    <x v="3"/>
    <x v="0"/>
    <x v="1"/>
    <x v="2"/>
  </r>
  <r>
    <s v="TX500140"/>
    <x v="8"/>
    <x v="0"/>
    <n v="17.8"/>
    <n v="17.8"/>
    <x v="5"/>
    <d v="2025-01-06T00:00:00"/>
    <x v="1"/>
    <x v="0"/>
    <x v="0"/>
    <x v="0"/>
    <x v="3"/>
    <x v="7"/>
    <x v="1"/>
    <x v="1"/>
  </r>
  <r>
    <s v="TX500141"/>
    <x v="2"/>
    <x v="13"/>
    <n v="139.6"/>
    <n v="837.59999999999991"/>
    <x v="5"/>
    <d v="2025-01-09T00:00:00"/>
    <x v="1"/>
    <x v="0"/>
    <x v="0"/>
    <x v="0"/>
    <x v="3"/>
    <x v="2"/>
    <x v="1"/>
    <x v="1"/>
  </r>
  <r>
    <s v="TX500142"/>
    <x v="9"/>
    <x v="0"/>
    <n v="31.7"/>
    <n v="31.7"/>
    <x v="5"/>
    <d v="2025-01-06T00:00:00"/>
    <x v="0"/>
    <x v="0"/>
    <x v="0"/>
    <x v="0"/>
    <x v="3"/>
    <x v="7"/>
    <x v="1"/>
    <x v="0"/>
  </r>
  <r>
    <s v="TX500143"/>
    <x v="8"/>
    <x v="8"/>
    <n v="26.3"/>
    <n v="210.4"/>
    <x v="5"/>
    <d v="2025-01-09T00:00:00"/>
    <x v="2"/>
    <x v="4"/>
    <x v="4"/>
    <x v="0"/>
    <x v="3"/>
    <x v="2"/>
    <x v="1"/>
    <x v="2"/>
  </r>
  <r>
    <s v="TX500144"/>
    <x v="4"/>
    <x v="1"/>
    <n v="47.8"/>
    <n v="95.6"/>
    <x v="5"/>
    <d v="2025-01-07T00:00:00"/>
    <x v="0"/>
    <x v="0"/>
    <x v="0"/>
    <x v="0"/>
    <x v="3"/>
    <x v="3"/>
    <x v="1"/>
    <x v="0"/>
  </r>
  <r>
    <s v="TX500145"/>
    <x v="9"/>
    <x v="2"/>
    <n v="69.400000000000006"/>
    <n v="208.20000000000002"/>
    <x v="5"/>
    <d v="2025-01-10T00:00:00"/>
    <x v="2"/>
    <x v="0"/>
    <x v="0"/>
    <x v="0"/>
    <x v="3"/>
    <x v="5"/>
    <x v="1"/>
    <x v="2"/>
  </r>
  <r>
    <s v="TX500146"/>
    <x v="18"/>
    <x v="4"/>
    <n v="25.8"/>
    <n v="309.60000000000002"/>
    <x v="5"/>
    <d v="2025-01-07T00:00:00"/>
    <x v="1"/>
    <x v="4"/>
    <x v="4"/>
    <x v="0"/>
    <x v="3"/>
    <x v="3"/>
    <x v="1"/>
    <x v="1"/>
  </r>
  <r>
    <s v="TX500147"/>
    <x v="0"/>
    <x v="12"/>
    <n v="26.4"/>
    <n v="105.6"/>
    <x v="5"/>
    <d v="2025-01-07T00:00:00"/>
    <x v="1"/>
    <x v="1"/>
    <x v="2"/>
    <x v="0"/>
    <x v="3"/>
    <x v="3"/>
    <x v="1"/>
    <x v="1"/>
  </r>
  <r>
    <s v="TX500148"/>
    <x v="8"/>
    <x v="12"/>
    <n v="15.7"/>
    <n v="62.8"/>
    <x v="5"/>
    <d v="2025-01-07T00:00:00"/>
    <x v="1"/>
    <x v="2"/>
    <x v="0"/>
    <x v="0"/>
    <x v="3"/>
    <x v="3"/>
    <x v="1"/>
    <x v="1"/>
  </r>
  <r>
    <s v="TX500149"/>
    <x v="8"/>
    <x v="0"/>
    <n v="39.700000000000003"/>
    <n v="39.700000000000003"/>
    <x v="5"/>
    <d v="2025-01-10T00:00:00"/>
    <x v="1"/>
    <x v="0"/>
    <x v="0"/>
    <x v="0"/>
    <x v="3"/>
    <x v="5"/>
    <x v="1"/>
    <x v="1"/>
  </r>
  <r>
    <s v="TX500150"/>
    <x v="10"/>
    <x v="12"/>
    <n v="31.1"/>
    <n v="124.4"/>
    <x v="5"/>
    <d v="2025-01-08T00:00:00"/>
    <x v="2"/>
    <x v="2"/>
    <x v="1"/>
    <x v="0"/>
    <x v="3"/>
    <x v="1"/>
    <x v="1"/>
    <x v="2"/>
  </r>
  <r>
    <s v="TX500151"/>
    <x v="13"/>
    <x v="20"/>
    <n v="23.4"/>
    <n v="351"/>
    <x v="5"/>
    <d v="2025-01-15T00:00:00"/>
    <x v="1"/>
    <x v="0"/>
    <x v="0"/>
    <x v="0"/>
    <x v="3"/>
    <x v="8"/>
    <x v="1"/>
    <x v="1"/>
  </r>
  <r>
    <s v="TX500152"/>
    <x v="1"/>
    <x v="12"/>
    <n v="57.1"/>
    <n v="228.4"/>
    <x v="6"/>
    <d v="2025-01-08T00:00:00"/>
    <x v="1"/>
    <x v="2"/>
    <x v="0"/>
    <x v="0"/>
    <x v="25"/>
    <x v="3"/>
    <x v="1"/>
    <x v="1"/>
  </r>
  <r>
    <s v="TX500153"/>
    <x v="2"/>
    <x v="9"/>
    <n v="89.9"/>
    <n v="449.5"/>
    <x v="6"/>
    <d v="2025-01-07T00:00:00"/>
    <x v="2"/>
    <x v="0"/>
    <x v="3"/>
    <x v="0"/>
    <x v="23"/>
    <x v="7"/>
    <x v="1"/>
    <x v="2"/>
  </r>
  <r>
    <s v="TX500154"/>
    <x v="10"/>
    <x v="3"/>
    <n v="48.1"/>
    <n v="336.7"/>
    <x v="6"/>
    <d v="2025-01-09T00:00:00"/>
    <x v="2"/>
    <x v="1"/>
    <x v="2"/>
    <x v="0"/>
    <x v="6"/>
    <x v="1"/>
    <x v="1"/>
    <x v="2"/>
  </r>
  <r>
    <s v="TX500155"/>
    <x v="8"/>
    <x v="1"/>
    <n v="29.3"/>
    <n v="58.6"/>
    <x v="6"/>
    <d v="2025-01-07T00:00:00"/>
    <x v="2"/>
    <x v="1"/>
    <x v="1"/>
    <x v="0"/>
    <x v="6"/>
    <x v="7"/>
    <x v="1"/>
    <x v="2"/>
  </r>
  <r>
    <s v="TX500156"/>
    <x v="8"/>
    <x v="12"/>
    <n v="28.8"/>
    <n v="115.2"/>
    <x v="6"/>
    <d v="2025-01-08T00:00:00"/>
    <x v="2"/>
    <x v="0"/>
    <x v="4"/>
    <x v="0"/>
    <x v="6"/>
    <x v="3"/>
    <x v="1"/>
    <x v="2"/>
  </r>
  <r>
    <s v="TX500157"/>
    <x v="10"/>
    <x v="9"/>
    <n v="40.5"/>
    <n v="202.5"/>
    <x v="6"/>
    <d v="2025-01-11T00:00:00"/>
    <x v="2"/>
    <x v="3"/>
    <x v="0"/>
    <x v="0"/>
    <x v="6"/>
    <x v="5"/>
    <x v="1"/>
    <x v="2"/>
  </r>
  <r>
    <s v="TX500158"/>
    <x v="18"/>
    <x v="21"/>
    <n v="65.099999999999994"/>
    <n v="911.39999999999986"/>
    <x v="6"/>
    <d v="2025-01-08T00:00:00"/>
    <x v="2"/>
    <x v="4"/>
    <x v="0"/>
    <x v="0"/>
    <x v="7"/>
    <x v="3"/>
    <x v="1"/>
    <x v="2"/>
  </r>
  <r>
    <s v="TX500159"/>
    <x v="8"/>
    <x v="12"/>
    <n v="40.299999999999997"/>
    <n v="161.19999999999999"/>
    <x v="6"/>
    <d v="2025-01-12T00:00:00"/>
    <x v="2"/>
    <x v="2"/>
    <x v="0"/>
    <x v="0"/>
    <x v="7"/>
    <x v="0"/>
    <x v="1"/>
    <x v="2"/>
  </r>
  <r>
    <s v="TX500160"/>
    <x v="6"/>
    <x v="9"/>
    <n v="51.8"/>
    <n v="259"/>
    <x v="6"/>
    <d v="2025-01-08T00:00:00"/>
    <x v="1"/>
    <x v="2"/>
    <x v="2"/>
    <x v="0"/>
    <x v="8"/>
    <x v="3"/>
    <x v="1"/>
    <x v="1"/>
  </r>
  <r>
    <s v="TX500161"/>
    <x v="6"/>
    <x v="2"/>
    <n v="61.3"/>
    <n v="183.89999999999998"/>
    <x v="6"/>
    <d v="2025-01-08T00:00:00"/>
    <x v="2"/>
    <x v="3"/>
    <x v="0"/>
    <x v="0"/>
    <x v="8"/>
    <x v="3"/>
    <x v="1"/>
    <x v="2"/>
  </r>
  <r>
    <s v="TX500162"/>
    <x v="2"/>
    <x v="12"/>
    <n v="122.5"/>
    <n v="490"/>
    <x v="6"/>
    <d v="2025-01-08T00:00:00"/>
    <x v="1"/>
    <x v="0"/>
    <x v="0"/>
    <x v="0"/>
    <x v="8"/>
    <x v="3"/>
    <x v="1"/>
    <x v="1"/>
  </r>
  <r>
    <s v="TX500163"/>
    <x v="0"/>
    <x v="11"/>
    <n v="12.5"/>
    <n v="112.5"/>
    <x v="6"/>
    <d v="2025-01-08T00:00:00"/>
    <x v="0"/>
    <x v="1"/>
    <x v="2"/>
    <x v="0"/>
    <x v="8"/>
    <x v="3"/>
    <x v="1"/>
    <x v="0"/>
  </r>
  <r>
    <s v="TX500164"/>
    <x v="15"/>
    <x v="8"/>
    <n v="37.5"/>
    <n v="300"/>
    <x v="6"/>
    <d v="2025-01-08T00:00:00"/>
    <x v="2"/>
    <x v="0"/>
    <x v="0"/>
    <x v="0"/>
    <x v="9"/>
    <x v="3"/>
    <x v="1"/>
    <x v="2"/>
  </r>
  <r>
    <s v="TX500165"/>
    <x v="6"/>
    <x v="2"/>
    <n v="40"/>
    <n v="120"/>
    <x v="6"/>
    <d v="2025-01-10T00:00:00"/>
    <x v="1"/>
    <x v="0"/>
    <x v="4"/>
    <x v="0"/>
    <x v="11"/>
    <x v="2"/>
    <x v="1"/>
    <x v="1"/>
  </r>
  <r>
    <s v="TX500166"/>
    <x v="17"/>
    <x v="8"/>
    <n v="38.5"/>
    <n v="308"/>
    <x v="6"/>
    <d v="2025-01-12T00:00:00"/>
    <x v="2"/>
    <x v="2"/>
    <x v="1"/>
    <x v="0"/>
    <x v="11"/>
    <x v="0"/>
    <x v="1"/>
    <x v="2"/>
  </r>
  <r>
    <s v="TX500167"/>
    <x v="2"/>
    <x v="1"/>
    <n v="86.4"/>
    <n v="172.8"/>
    <x v="6"/>
    <d v="2025-01-09T00:00:00"/>
    <x v="2"/>
    <x v="0"/>
    <x v="0"/>
    <x v="0"/>
    <x v="18"/>
    <x v="1"/>
    <x v="1"/>
    <x v="2"/>
  </r>
  <r>
    <s v="TX500168"/>
    <x v="10"/>
    <x v="0"/>
    <n v="50.7"/>
    <n v="50.7"/>
    <x v="6"/>
    <d v="2025-01-11T00:00:00"/>
    <x v="2"/>
    <x v="1"/>
    <x v="0"/>
    <x v="0"/>
    <x v="18"/>
    <x v="5"/>
    <x v="1"/>
    <x v="2"/>
  </r>
  <r>
    <s v="TX500169"/>
    <x v="10"/>
    <x v="1"/>
    <n v="61"/>
    <n v="122"/>
    <x v="6"/>
    <d v="2025-01-18T00:00:00"/>
    <x v="2"/>
    <x v="4"/>
    <x v="1"/>
    <x v="0"/>
    <x v="18"/>
    <x v="11"/>
    <x v="1"/>
    <x v="2"/>
  </r>
  <r>
    <s v="TX500170"/>
    <x v="4"/>
    <x v="1"/>
    <n v="19.899999999999999"/>
    <n v="39.799999999999997"/>
    <x v="6"/>
    <d v="2025-01-10T00:00:00"/>
    <x v="2"/>
    <x v="1"/>
    <x v="0"/>
    <x v="0"/>
    <x v="28"/>
    <x v="2"/>
    <x v="1"/>
    <x v="2"/>
  </r>
  <r>
    <s v="TX500171"/>
    <x v="5"/>
    <x v="0"/>
    <n v="78.3"/>
    <n v="78.3"/>
    <x v="6"/>
    <d v="2025-01-07T00:00:00"/>
    <x v="2"/>
    <x v="0"/>
    <x v="2"/>
    <x v="0"/>
    <x v="1"/>
    <x v="7"/>
    <x v="1"/>
    <x v="2"/>
  </r>
  <r>
    <s v="TX500172"/>
    <x v="0"/>
    <x v="10"/>
    <n v="10.4"/>
    <n v="197.6"/>
    <x v="6"/>
    <d v="2025-01-09T00:00:00"/>
    <x v="1"/>
    <x v="0"/>
    <x v="2"/>
    <x v="0"/>
    <x v="2"/>
    <x v="1"/>
    <x v="1"/>
    <x v="1"/>
  </r>
  <r>
    <s v="TX500173"/>
    <x v="10"/>
    <x v="0"/>
    <n v="36.1"/>
    <n v="36.1"/>
    <x v="6"/>
    <d v="2025-01-10T00:00:00"/>
    <x v="1"/>
    <x v="3"/>
    <x v="2"/>
    <x v="0"/>
    <x v="3"/>
    <x v="2"/>
    <x v="1"/>
    <x v="1"/>
  </r>
  <r>
    <s v="TX500174"/>
    <x v="14"/>
    <x v="1"/>
    <n v="17.3"/>
    <n v="34.6"/>
    <x v="6"/>
    <d v="2025-01-09T00:00:00"/>
    <x v="2"/>
    <x v="1"/>
    <x v="2"/>
    <x v="0"/>
    <x v="3"/>
    <x v="1"/>
    <x v="1"/>
    <x v="2"/>
  </r>
  <r>
    <s v="TX500175"/>
    <x v="10"/>
    <x v="1"/>
    <n v="30.5"/>
    <n v="61"/>
    <x v="6"/>
    <d v="2025-01-08T00:00:00"/>
    <x v="2"/>
    <x v="1"/>
    <x v="2"/>
    <x v="0"/>
    <x v="3"/>
    <x v="3"/>
    <x v="1"/>
    <x v="2"/>
  </r>
  <r>
    <s v="TX500176"/>
    <x v="18"/>
    <x v="22"/>
    <n v="70.099999999999994"/>
    <n v="4346.2"/>
    <x v="6"/>
    <d v="2025-01-07T00:00:00"/>
    <x v="2"/>
    <x v="2"/>
    <x v="0"/>
    <x v="0"/>
    <x v="3"/>
    <x v="7"/>
    <x v="1"/>
    <x v="2"/>
  </r>
  <r>
    <s v="TX500177"/>
    <x v="3"/>
    <x v="0"/>
    <n v="76.099999999999994"/>
    <n v="76.099999999999994"/>
    <x v="6"/>
    <d v="2025-01-07T00:00:00"/>
    <x v="2"/>
    <x v="2"/>
    <x v="1"/>
    <x v="0"/>
    <x v="3"/>
    <x v="7"/>
    <x v="1"/>
    <x v="2"/>
  </r>
  <r>
    <s v="TX500178"/>
    <x v="15"/>
    <x v="15"/>
    <n v="34.200000000000003"/>
    <n v="444.6"/>
    <x v="6"/>
    <d v="2025-01-08T00:00:00"/>
    <x v="1"/>
    <x v="0"/>
    <x v="0"/>
    <x v="0"/>
    <x v="3"/>
    <x v="3"/>
    <x v="1"/>
    <x v="1"/>
  </r>
  <r>
    <s v="TX500179"/>
    <x v="8"/>
    <x v="9"/>
    <n v="30.3"/>
    <n v="151.5"/>
    <x v="6"/>
    <d v="2025-01-12T00:00:00"/>
    <x v="2"/>
    <x v="4"/>
    <x v="0"/>
    <x v="0"/>
    <x v="3"/>
    <x v="0"/>
    <x v="1"/>
    <x v="2"/>
  </r>
  <r>
    <s v="TX500180"/>
    <x v="6"/>
    <x v="9"/>
    <n v="52.5"/>
    <n v="262.5"/>
    <x v="6"/>
    <d v="2025-01-11T00:00:00"/>
    <x v="0"/>
    <x v="3"/>
    <x v="0"/>
    <x v="0"/>
    <x v="3"/>
    <x v="5"/>
    <x v="1"/>
    <x v="0"/>
  </r>
  <r>
    <s v="TX500181"/>
    <x v="9"/>
    <x v="5"/>
    <n v="28.7"/>
    <n v="315.7"/>
    <x v="6"/>
    <d v="2025-01-08T00:00:00"/>
    <x v="2"/>
    <x v="2"/>
    <x v="0"/>
    <x v="0"/>
    <x v="3"/>
    <x v="3"/>
    <x v="1"/>
    <x v="2"/>
  </r>
  <r>
    <s v="TX500182"/>
    <x v="7"/>
    <x v="3"/>
    <n v="52"/>
    <n v="364"/>
    <x v="6"/>
    <d v="2025-01-08T00:00:00"/>
    <x v="1"/>
    <x v="1"/>
    <x v="4"/>
    <x v="0"/>
    <x v="3"/>
    <x v="3"/>
    <x v="1"/>
    <x v="1"/>
  </r>
  <r>
    <s v="TX500183"/>
    <x v="0"/>
    <x v="0"/>
    <n v="13.3"/>
    <n v="13.3"/>
    <x v="7"/>
    <d v="2025-01-12T00:00:00"/>
    <x v="2"/>
    <x v="2"/>
    <x v="1"/>
    <x v="0"/>
    <x v="3"/>
    <x v="5"/>
    <x v="1"/>
    <x v="2"/>
  </r>
  <r>
    <s v="TX500184"/>
    <x v="0"/>
    <x v="2"/>
    <n v="15.7"/>
    <n v="47.099999999999994"/>
    <x v="7"/>
    <d v="2025-01-09T00:00:00"/>
    <x v="2"/>
    <x v="1"/>
    <x v="0"/>
    <x v="0"/>
    <x v="29"/>
    <x v="3"/>
    <x v="1"/>
    <x v="2"/>
  </r>
  <r>
    <s v="TX500185"/>
    <x v="8"/>
    <x v="1"/>
    <n v="25.6"/>
    <n v="51.2"/>
    <x v="7"/>
    <d v="2025-01-09T00:00:00"/>
    <x v="1"/>
    <x v="0"/>
    <x v="2"/>
    <x v="0"/>
    <x v="23"/>
    <x v="3"/>
    <x v="1"/>
    <x v="1"/>
  </r>
  <r>
    <s v="TX500186"/>
    <x v="8"/>
    <x v="0"/>
    <n v="43.4"/>
    <n v="43.4"/>
    <x v="7"/>
    <d v="2025-01-13T00:00:00"/>
    <x v="1"/>
    <x v="0"/>
    <x v="0"/>
    <x v="0"/>
    <x v="6"/>
    <x v="0"/>
    <x v="1"/>
    <x v="1"/>
  </r>
  <r>
    <s v="TX500187"/>
    <x v="11"/>
    <x v="11"/>
    <n v="33.4"/>
    <n v="300.59999999999997"/>
    <x v="7"/>
    <d v="2025-01-08T00:00:00"/>
    <x v="2"/>
    <x v="0"/>
    <x v="0"/>
    <x v="0"/>
    <x v="8"/>
    <x v="7"/>
    <x v="1"/>
    <x v="2"/>
  </r>
  <r>
    <s v="TX500188"/>
    <x v="8"/>
    <x v="10"/>
    <n v="55"/>
    <n v="1045"/>
    <x v="7"/>
    <d v="2025-01-09T00:00:00"/>
    <x v="2"/>
    <x v="1"/>
    <x v="2"/>
    <x v="0"/>
    <x v="8"/>
    <x v="3"/>
    <x v="1"/>
    <x v="2"/>
  </r>
  <r>
    <s v="TX500189"/>
    <x v="8"/>
    <x v="2"/>
    <n v="23.6"/>
    <n v="70.800000000000011"/>
    <x v="7"/>
    <d v="2025-01-09T00:00:00"/>
    <x v="1"/>
    <x v="0"/>
    <x v="2"/>
    <x v="0"/>
    <x v="8"/>
    <x v="3"/>
    <x v="1"/>
    <x v="1"/>
  </r>
  <r>
    <s v="TX500190"/>
    <x v="12"/>
    <x v="11"/>
    <n v="104"/>
    <n v="936"/>
    <x v="7"/>
    <d v="2025-01-10T00:00:00"/>
    <x v="2"/>
    <x v="2"/>
    <x v="2"/>
    <x v="0"/>
    <x v="17"/>
    <x v="1"/>
    <x v="1"/>
    <x v="2"/>
  </r>
  <r>
    <s v="TX500191"/>
    <x v="6"/>
    <x v="1"/>
    <n v="51.8"/>
    <n v="103.6"/>
    <x v="7"/>
    <d v="2025-01-12T00:00:00"/>
    <x v="0"/>
    <x v="0"/>
    <x v="2"/>
    <x v="0"/>
    <x v="10"/>
    <x v="5"/>
    <x v="1"/>
    <x v="0"/>
  </r>
  <r>
    <s v="TX500192"/>
    <x v="10"/>
    <x v="9"/>
    <n v="34.5"/>
    <n v="172.5"/>
    <x v="7"/>
    <d v="2025-01-10T00:00:00"/>
    <x v="0"/>
    <x v="2"/>
    <x v="2"/>
    <x v="0"/>
    <x v="11"/>
    <x v="1"/>
    <x v="1"/>
    <x v="0"/>
  </r>
  <r>
    <s v="TX500193"/>
    <x v="6"/>
    <x v="1"/>
    <n v="51.8"/>
    <n v="103.6"/>
    <x v="7"/>
    <d v="2025-01-10T00:00:00"/>
    <x v="1"/>
    <x v="1"/>
    <x v="2"/>
    <x v="0"/>
    <x v="30"/>
    <x v="1"/>
    <x v="1"/>
    <x v="1"/>
  </r>
  <r>
    <s v="TX500194"/>
    <x v="18"/>
    <x v="23"/>
    <n v="131.5"/>
    <n v="5654.5"/>
    <x v="7"/>
    <d v="2025-01-09T00:00:00"/>
    <x v="2"/>
    <x v="0"/>
    <x v="2"/>
    <x v="0"/>
    <x v="18"/>
    <x v="3"/>
    <x v="1"/>
    <x v="2"/>
  </r>
  <r>
    <s v="TX500195"/>
    <x v="8"/>
    <x v="3"/>
    <n v="47.8"/>
    <n v="334.59999999999997"/>
    <x v="7"/>
    <d v="2025-01-08T00:00:00"/>
    <x v="2"/>
    <x v="0"/>
    <x v="0"/>
    <x v="0"/>
    <x v="19"/>
    <x v="7"/>
    <x v="1"/>
    <x v="2"/>
  </r>
  <r>
    <s v="TX500196"/>
    <x v="0"/>
    <x v="1"/>
    <n v="10.199999999999999"/>
    <n v="20.399999999999999"/>
    <x v="7"/>
    <d v="2025-01-10T00:00:00"/>
    <x v="2"/>
    <x v="0"/>
    <x v="0"/>
    <x v="0"/>
    <x v="19"/>
    <x v="1"/>
    <x v="1"/>
    <x v="2"/>
  </r>
  <r>
    <s v="TX500197"/>
    <x v="8"/>
    <x v="8"/>
    <n v="41"/>
    <n v="328"/>
    <x v="7"/>
    <d v="2025-01-08T00:00:00"/>
    <x v="2"/>
    <x v="1"/>
    <x v="2"/>
    <x v="0"/>
    <x v="19"/>
    <x v="7"/>
    <x v="1"/>
    <x v="2"/>
  </r>
  <r>
    <s v="TX500198"/>
    <x v="10"/>
    <x v="3"/>
    <n v="50.8"/>
    <n v="355.59999999999997"/>
    <x v="7"/>
    <d v="2025-01-11T00:00:00"/>
    <x v="2"/>
    <x v="1"/>
    <x v="0"/>
    <x v="0"/>
    <x v="21"/>
    <x v="2"/>
    <x v="1"/>
    <x v="2"/>
  </r>
  <r>
    <s v="TX500199"/>
    <x v="18"/>
    <x v="2"/>
    <n v="39.6"/>
    <n v="118.80000000000001"/>
    <x v="7"/>
    <d v="2025-01-09T00:00:00"/>
    <x v="1"/>
    <x v="2"/>
    <x v="2"/>
    <x v="0"/>
    <x v="1"/>
    <x v="3"/>
    <x v="1"/>
    <x v="1"/>
  </r>
  <r>
    <s v="TX500200"/>
    <x v="5"/>
    <x v="1"/>
    <n v="69.5"/>
    <n v="139"/>
    <x v="7"/>
    <d v="2025-01-10T00:00:00"/>
    <x v="1"/>
    <x v="0"/>
    <x v="2"/>
    <x v="0"/>
    <x v="2"/>
    <x v="1"/>
    <x v="1"/>
    <x v="1"/>
  </r>
  <r>
    <s v="TX500201"/>
    <x v="8"/>
    <x v="8"/>
    <n v="32.6"/>
    <n v="260.8"/>
    <x v="7"/>
    <d v="2025-01-11T00:00:00"/>
    <x v="1"/>
    <x v="1"/>
    <x v="0"/>
    <x v="0"/>
    <x v="3"/>
    <x v="2"/>
    <x v="1"/>
    <x v="1"/>
  </r>
  <r>
    <s v="TX500202"/>
    <x v="7"/>
    <x v="1"/>
    <n v="49.1"/>
    <n v="98.2"/>
    <x v="7"/>
    <d v="2025-01-16T00:00:00"/>
    <x v="1"/>
    <x v="3"/>
    <x v="2"/>
    <x v="0"/>
    <x v="3"/>
    <x v="9"/>
    <x v="1"/>
    <x v="1"/>
  </r>
  <r>
    <s v="TX500203"/>
    <x v="6"/>
    <x v="1"/>
    <n v="49.4"/>
    <n v="98.8"/>
    <x v="8"/>
    <d v="2025-01-10T00:00:00"/>
    <x v="2"/>
    <x v="2"/>
    <x v="0"/>
    <x v="0"/>
    <x v="3"/>
    <x v="3"/>
    <x v="1"/>
    <x v="2"/>
  </r>
  <r>
    <s v="TX500204"/>
    <x v="7"/>
    <x v="3"/>
    <n v="65.099999999999994"/>
    <n v="455.69999999999993"/>
    <x v="8"/>
    <d v="2025-01-12T00:00:00"/>
    <x v="2"/>
    <x v="2"/>
    <x v="2"/>
    <x v="0"/>
    <x v="3"/>
    <x v="2"/>
    <x v="1"/>
    <x v="2"/>
  </r>
  <r>
    <s v="TX500205"/>
    <x v="3"/>
    <x v="1"/>
    <n v="52.1"/>
    <n v="104.2"/>
    <x v="8"/>
    <d v="2025-01-13T00:00:00"/>
    <x v="2"/>
    <x v="2"/>
    <x v="0"/>
    <x v="0"/>
    <x v="3"/>
    <x v="5"/>
    <x v="1"/>
    <x v="2"/>
  </r>
  <r>
    <s v="TX500206"/>
    <x v="2"/>
    <x v="12"/>
    <n v="129.19999999999999"/>
    <n v="516.79999999999995"/>
    <x v="8"/>
    <d v="2025-01-10T00:00:00"/>
    <x v="2"/>
    <x v="1"/>
    <x v="0"/>
    <x v="0"/>
    <x v="3"/>
    <x v="3"/>
    <x v="1"/>
    <x v="2"/>
  </r>
  <r>
    <s v="TX500207"/>
    <x v="1"/>
    <x v="10"/>
    <n v="81.8"/>
    <n v="1554.2"/>
    <x v="8"/>
    <d v="2025-01-09T00:00:00"/>
    <x v="2"/>
    <x v="1"/>
    <x v="1"/>
    <x v="0"/>
    <x v="3"/>
    <x v="7"/>
    <x v="1"/>
    <x v="2"/>
  </r>
  <r>
    <s v="TX500208"/>
    <x v="17"/>
    <x v="0"/>
    <n v="24.9"/>
    <n v="24.9"/>
    <x v="8"/>
    <d v="2025-01-13T00:00:00"/>
    <x v="2"/>
    <x v="1"/>
    <x v="0"/>
    <x v="0"/>
    <x v="3"/>
    <x v="5"/>
    <x v="1"/>
    <x v="2"/>
  </r>
  <r>
    <s v="TX500209"/>
    <x v="0"/>
    <x v="2"/>
    <n v="49.4"/>
    <n v="148.19999999999999"/>
    <x v="8"/>
    <d v="2025-01-12T00:00:00"/>
    <x v="2"/>
    <x v="4"/>
    <x v="4"/>
    <x v="0"/>
    <x v="3"/>
    <x v="2"/>
    <x v="1"/>
    <x v="2"/>
  </r>
  <r>
    <s v="TX500210"/>
    <x v="8"/>
    <x v="1"/>
    <n v="22.7"/>
    <n v="45.4"/>
    <x v="8"/>
    <d v="2025-01-10T00:00:00"/>
    <x v="1"/>
    <x v="3"/>
    <x v="2"/>
    <x v="0"/>
    <x v="3"/>
    <x v="3"/>
    <x v="1"/>
    <x v="1"/>
  </r>
  <r>
    <s v="TX500211"/>
    <x v="1"/>
    <x v="0"/>
    <n v="77.3"/>
    <n v="77.3"/>
    <x v="8"/>
    <d v="2025-01-09T00:00:00"/>
    <x v="2"/>
    <x v="0"/>
    <x v="2"/>
    <x v="0"/>
    <x v="6"/>
    <x v="7"/>
    <x v="1"/>
    <x v="2"/>
  </r>
  <r>
    <s v="TX500212"/>
    <x v="1"/>
    <x v="9"/>
    <n v="109.1"/>
    <n v="545.5"/>
    <x v="8"/>
    <d v="2025-01-12T00:00:00"/>
    <x v="2"/>
    <x v="0"/>
    <x v="0"/>
    <x v="0"/>
    <x v="6"/>
    <x v="2"/>
    <x v="1"/>
    <x v="2"/>
  </r>
  <r>
    <s v="TX500213"/>
    <x v="2"/>
    <x v="12"/>
    <n v="53.9"/>
    <n v="215.6"/>
    <x v="8"/>
    <d v="2025-01-10T00:00:00"/>
    <x v="1"/>
    <x v="0"/>
    <x v="1"/>
    <x v="0"/>
    <x v="8"/>
    <x v="3"/>
    <x v="1"/>
    <x v="1"/>
  </r>
  <r>
    <s v="TX500214"/>
    <x v="9"/>
    <x v="18"/>
    <n v="21.2"/>
    <n v="551.19999999999993"/>
    <x v="8"/>
    <d v="2025-01-09T00:00:00"/>
    <x v="2"/>
    <x v="0"/>
    <x v="0"/>
    <x v="0"/>
    <x v="9"/>
    <x v="7"/>
    <x v="1"/>
    <x v="2"/>
  </r>
  <r>
    <s v="TX500215"/>
    <x v="16"/>
    <x v="12"/>
    <n v="69"/>
    <n v="276"/>
    <x v="8"/>
    <d v="2025-01-11T00:00:00"/>
    <x v="2"/>
    <x v="1"/>
    <x v="1"/>
    <x v="0"/>
    <x v="18"/>
    <x v="1"/>
    <x v="1"/>
    <x v="2"/>
  </r>
  <r>
    <s v="TX500216"/>
    <x v="6"/>
    <x v="2"/>
    <n v="46.2"/>
    <n v="138.60000000000002"/>
    <x v="8"/>
    <d v="2025-01-11T00:00:00"/>
    <x v="2"/>
    <x v="0"/>
    <x v="2"/>
    <x v="0"/>
    <x v="31"/>
    <x v="1"/>
    <x v="1"/>
    <x v="2"/>
  </r>
  <r>
    <s v="TX500217"/>
    <x v="1"/>
    <x v="9"/>
    <n v="97.4"/>
    <n v="487"/>
    <x v="8"/>
    <d v="2025-01-13T00:00:00"/>
    <x v="2"/>
    <x v="4"/>
    <x v="2"/>
    <x v="0"/>
    <x v="21"/>
    <x v="5"/>
    <x v="1"/>
    <x v="2"/>
  </r>
  <r>
    <s v="TX500218"/>
    <x v="8"/>
    <x v="9"/>
    <n v="21"/>
    <n v="105"/>
    <x v="8"/>
    <d v="2025-01-10T00:00:00"/>
    <x v="1"/>
    <x v="0"/>
    <x v="1"/>
    <x v="0"/>
    <x v="21"/>
    <x v="3"/>
    <x v="1"/>
    <x v="1"/>
  </r>
  <r>
    <s v="TX500219"/>
    <x v="5"/>
    <x v="1"/>
    <n v="32.700000000000003"/>
    <n v="65.400000000000006"/>
    <x v="9"/>
    <d v="2025-01-13T00:00:00"/>
    <x v="2"/>
    <x v="1"/>
    <x v="0"/>
    <x v="0"/>
    <x v="2"/>
    <x v="2"/>
    <x v="1"/>
    <x v="2"/>
  </r>
  <r>
    <s v="TX500220"/>
    <x v="6"/>
    <x v="12"/>
    <n v="48"/>
    <n v="192"/>
    <x v="9"/>
    <d v="2025-01-11T00:00:00"/>
    <x v="1"/>
    <x v="3"/>
    <x v="0"/>
    <x v="0"/>
    <x v="3"/>
    <x v="3"/>
    <x v="1"/>
    <x v="1"/>
  </r>
  <r>
    <s v="TX500221"/>
    <x v="6"/>
    <x v="2"/>
    <n v="68.2"/>
    <n v="204.60000000000002"/>
    <x v="9"/>
    <d v="2025-01-14T00:00:00"/>
    <x v="0"/>
    <x v="0"/>
    <x v="2"/>
    <x v="0"/>
    <x v="3"/>
    <x v="5"/>
    <x v="1"/>
    <x v="0"/>
  </r>
  <r>
    <s v="TX500222"/>
    <x v="5"/>
    <x v="0"/>
    <n v="45.4"/>
    <n v="45.4"/>
    <x v="9"/>
    <d v="2025-01-12T00:00:00"/>
    <x v="1"/>
    <x v="1"/>
    <x v="0"/>
    <x v="0"/>
    <x v="3"/>
    <x v="1"/>
    <x v="1"/>
    <x v="1"/>
  </r>
  <r>
    <s v="TX500223"/>
    <x v="12"/>
    <x v="1"/>
    <n v="53.9"/>
    <n v="107.8"/>
    <x v="9"/>
    <d v="2025-01-11T00:00:00"/>
    <x v="2"/>
    <x v="2"/>
    <x v="0"/>
    <x v="0"/>
    <x v="3"/>
    <x v="3"/>
    <x v="1"/>
    <x v="2"/>
  </r>
  <r>
    <s v="TX500224"/>
    <x v="2"/>
    <x v="12"/>
    <n v="62.1"/>
    <n v="248.4"/>
    <x v="9"/>
    <d v="2025-01-14T00:00:00"/>
    <x v="2"/>
    <x v="0"/>
    <x v="0"/>
    <x v="0"/>
    <x v="4"/>
    <x v="5"/>
    <x v="1"/>
    <x v="2"/>
  </r>
  <r>
    <s v="TX500225"/>
    <x v="13"/>
    <x v="3"/>
    <n v="33.1"/>
    <n v="231.70000000000002"/>
    <x v="9"/>
    <d v="2025-01-15T00:00:00"/>
    <x v="1"/>
    <x v="1"/>
    <x v="0"/>
    <x v="0"/>
    <x v="6"/>
    <x v="0"/>
    <x v="1"/>
    <x v="1"/>
  </r>
  <r>
    <s v="TX500226"/>
    <x v="18"/>
    <x v="9"/>
    <n v="35.200000000000003"/>
    <n v="176"/>
    <x v="9"/>
    <d v="2025-01-10T00:00:00"/>
    <x v="2"/>
    <x v="1"/>
    <x v="0"/>
    <x v="0"/>
    <x v="6"/>
    <x v="7"/>
    <x v="1"/>
    <x v="2"/>
  </r>
  <r>
    <s v="TX500227"/>
    <x v="9"/>
    <x v="2"/>
    <n v="32.1"/>
    <n v="96.300000000000011"/>
    <x v="9"/>
    <d v="2025-01-15T00:00:00"/>
    <x v="1"/>
    <x v="3"/>
    <x v="0"/>
    <x v="0"/>
    <x v="8"/>
    <x v="0"/>
    <x v="1"/>
    <x v="1"/>
  </r>
  <r>
    <s v="TX500228"/>
    <x v="11"/>
    <x v="0"/>
    <n v="38.1"/>
    <n v="38.1"/>
    <x v="9"/>
    <d v="2025-01-15T00:00:00"/>
    <x v="2"/>
    <x v="0"/>
    <x v="2"/>
    <x v="0"/>
    <x v="8"/>
    <x v="0"/>
    <x v="1"/>
    <x v="2"/>
  </r>
  <r>
    <s v="TX500229"/>
    <x v="8"/>
    <x v="0"/>
    <n v="65.2"/>
    <n v="65.2"/>
    <x v="9"/>
    <d v="2025-01-15T00:00:00"/>
    <x v="2"/>
    <x v="3"/>
    <x v="1"/>
    <x v="0"/>
    <x v="8"/>
    <x v="0"/>
    <x v="1"/>
    <x v="2"/>
  </r>
  <r>
    <s v="TX500230"/>
    <x v="10"/>
    <x v="3"/>
    <n v="55.2"/>
    <n v="386.40000000000003"/>
    <x v="9"/>
    <d v="2025-01-11T00:00:00"/>
    <x v="1"/>
    <x v="2"/>
    <x v="0"/>
    <x v="0"/>
    <x v="11"/>
    <x v="3"/>
    <x v="1"/>
    <x v="1"/>
  </r>
  <r>
    <s v="TX500231"/>
    <x v="6"/>
    <x v="0"/>
    <n v="62"/>
    <n v="62"/>
    <x v="9"/>
    <d v="2025-01-14T00:00:00"/>
    <x v="2"/>
    <x v="0"/>
    <x v="0"/>
    <x v="0"/>
    <x v="11"/>
    <x v="5"/>
    <x v="1"/>
    <x v="2"/>
  </r>
  <r>
    <s v="TX500232"/>
    <x v="7"/>
    <x v="2"/>
    <n v="45.9"/>
    <n v="137.69999999999999"/>
    <x v="9"/>
    <d v="2025-01-11T00:00:00"/>
    <x v="2"/>
    <x v="2"/>
    <x v="0"/>
    <x v="0"/>
    <x v="32"/>
    <x v="3"/>
    <x v="1"/>
    <x v="2"/>
  </r>
  <r>
    <s v="TX500233"/>
    <x v="18"/>
    <x v="2"/>
    <n v="58.3"/>
    <n v="174.89999999999998"/>
    <x v="9"/>
    <d v="2025-01-10T00:00:00"/>
    <x v="1"/>
    <x v="1"/>
    <x v="1"/>
    <x v="0"/>
    <x v="18"/>
    <x v="7"/>
    <x v="1"/>
    <x v="1"/>
  </r>
  <r>
    <s v="TX500234"/>
    <x v="8"/>
    <x v="1"/>
    <n v="22.3"/>
    <n v="44.6"/>
    <x v="9"/>
    <d v="2025-01-13T00:00:00"/>
    <x v="2"/>
    <x v="0"/>
    <x v="2"/>
    <x v="0"/>
    <x v="20"/>
    <x v="2"/>
    <x v="1"/>
    <x v="2"/>
  </r>
  <r>
    <s v="TX500235"/>
    <x v="19"/>
    <x v="9"/>
    <n v="24"/>
    <n v="120"/>
    <x v="9"/>
    <d v="2025-01-11T00:00:00"/>
    <x v="1"/>
    <x v="4"/>
    <x v="0"/>
    <x v="0"/>
    <x v="1"/>
    <x v="3"/>
    <x v="1"/>
    <x v="1"/>
  </r>
  <r>
    <s v="TX500236"/>
    <x v="0"/>
    <x v="7"/>
    <n v="21.3"/>
    <n v="213"/>
    <x v="9"/>
    <d v="2025-01-10T00:00:00"/>
    <x v="2"/>
    <x v="1"/>
    <x v="2"/>
    <x v="0"/>
    <x v="22"/>
    <x v="7"/>
    <x v="1"/>
    <x v="2"/>
  </r>
  <r>
    <s v="TX500237"/>
    <x v="6"/>
    <x v="24"/>
    <n v="57.8"/>
    <n v="2369.7999999999997"/>
    <x v="9"/>
    <d v="2025-01-12T00:00:00"/>
    <x v="2"/>
    <x v="0"/>
    <x v="2"/>
    <x v="0"/>
    <x v="3"/>
    <x v="1"/>
    <x v="1"/>
    <x v="2"/>
  </r>
  <r>
    <s v="TX500238"/>
    <x v="10"/>
    <x v="2"/>
    <n v="67.599999999999994"/>
    <n v="202.79999999999998"/>
    <x v="9"/>
    <d v="2025-01-11T00:00:00"/>
    <x v="2"/>
    <x v="0"/>
    <x v="0"/>
    <x v="0"/>
    <x v="3"/>
    <x v="3"/>
    <x v="1"/>
    <x v="2"/>
  </r>
  <r>
    <s v="TX500239"/>
    <x v="6"/>
    <x v="13"/>
    <n v="66.7"/>
    <n v="400.20000000000005"/>
    <x v="9"/>
    <d v="2025-01-14T00:00:00"/>
    <x v="1"/>
    <x v="4"/>
    <x v="1"/>
    <x v="0"/>
    <x v="3"/>
    <x v="5"/>
    <x v="1"/>
    <x v="1"/>
  </r>
  <r>
    <s v="TX500240"/>
    <x v="1"/>
    <x v="12"/>
    <n v="53.1"/>
    <n v="212.4"/>
    <x v="9"/>
    <d v="2025-01-12T00:00:00"/>
    <x v="2"/>
    <x v="1"/>
    <x v="0"/>
    <x v="0"/>
    <x v="3"/>
    <x v="1"/>
    <x v="1"/>
    <x v="2"/>
  </r>
  <r>
    <s v="TX500241"/>
    <x v="12"/>
    <x v="2"/>
    <n v="57.4"/>
    <n v="172.2"/>
    <x v="9"/>
    <d v="2025-01-13T00:00:00"/>
    <x v="2"/>
    <x v="0"/>
    <x v="2"/>
    <x v="0"/>
    <x v="29"/>
    <x v="2"/>
    <x v="1"/>
    <x v="2"/>
  </r>
  <r>
    <s v="TX500242"/>
    <x v="2"/>
    <x v="9"/>
    <n v="58.1"/>
    <n v="290.5"/>
    <x v="9"/>
    <d v="2025-01-10T00:00:00"/>
    <x v="1"/>
    <x v="2"/>
    <x v="2"/>
    <x v="0"/>
    <x v="6"/>
    <x v="7"/>
    <x v="1"/>
    <x v="1"/>
  </r>
  <r>
    <s v="TX500243"/>
    <x v="5"/>
    <x v="2"/>
    <n v="31.8"/>
    <n v="95.4"/>
    <x v="10"/>
    <d v="2025-01-13T00:00:00"/>
    <x v="1"/>
    <x v="3"/>
    <x v="0"/>
    <x v="0"/>
    <x v="6"/>
    <x v="1"/>
    <x v="1"/>
    <x v="1"/>
  </r>
  <r>
    <s v="TX500244"/>
    <x v="4"/>
    <x v="2"/>
    <n v="31.5"/>
    <n v="94.5"/>
    <x v="10"/>
    <d v="2025-01-14T00:00:00"/>
    <x v="1"/>
    <x v="0"/>
    <x v="1"/>
    <x v="0"/>
    <x v="8"/>
    <x v="2"/>
    <x v="1"/>
    <x v="1"/>
  </r>
  <r>
    <s v="TX500245"/>
    <x v="6"/>
    <x v="3"/>
    <n v="55.9"/>
    <n v="391.3"/>
    <x v="10"/>
    <d v="2025-01-15T00:00:00"/>
    <x v="2"/>
    <x v="1"/>
    <x v="2"/>
    <x v="0"/>
    <x v="8"/>
    <x v="5"/>
    <x v="1"/>
    <x v="2"/>
  </r>
  <r>
    <s v="TX500246"/>
    <x v="8"/>
    <x v="1"/>
    <n v="36.4"/>
    <n v="72.8"/>
    <x v="10"/>
    <d v="2025-01-12T00:00:00"/>
    <x v="1"/>
    <x v="1"/>
    <x v="1"/>
    <x v="0"/>
    <x v="9"/>
    <x v="3"/>
    <x v="1"/>
    <x v="1"/>
  </r>
  <r>
    <s v="TX500247"/>
    <x v="1"/>
    <x v="9"/>
    <n v="47.3"/>
    <n v="236.5"/>
    <x v="10"/>
    <d v="2025-01-14T00:00:00"/>
    <x v="1"/>
    <x v="2"/>
    <x v="0"/>
    <x v="0"/>
    <x v="10"/>
    <x v="2"/>
    <x v="1"/>
    <x v="1"/>
  </r>
  <r>
    <s v="TX500248"/>
    <x v="6"/>
    <x v="2"/>
    <n v="82.5"/>
    <n v="247.5"/>
    <x v="10"/>
    <d v="2025-01-12T00:00:00"/>
    <x v="1"/>
    <x v="0"/>
    <x v="0"/>
    <x v="0"/>
    <x v="11"/>
    <x v="3"/>
    <x v="1"/>
    <x v="1"/>
  </r>
  <r>
    <s v="TX500249"/>
    <x v="0"/>
    <x v="0"/>
    <n v="14.3"/>
    <n v="14.3"/>
    <x v="10"/>
    <d v="2025-01-12T00:00:00"/>
    <x v="2"/>
    <x v="0"/>
    <x v="0"/>
    <x v="0"/>
    <x v="21"/>
    <x v="3"/>
    <x v="1"/>
    <x v="2"/>
  </r>
  <r>
    <s v="TX500250"/>
    <x v="2"/>
    <x v="13"/>
    <n v="57.6"/>
    <n v="345.6"/>
    <x v="10"/>
    <d v="2025-01-25T00:00:00"/>
    <x v="2"/>
    <x v="0"/>
    <x v="0"/>
    <x v="0"/>
    <x v="21"/>
    <x v="12"/>
    <x v="1"/>
    <x v="2"/>
  </r>
  <r>
    <s v="TX500251"/>
    <x v="2"/>
    <x v="2"/>
    <n v="142.4"/>
    <n v="427.20000000000005"/>
    <x v="10"/>
    <d v="2025-01-13T00:00:00"/>
    <x v="1"/>
    <x v="4"/>
    <x v="1"/>
    <x v="0"/>
    <x v="21"/>
    <x v="1"/>
    <x v="1"/>
    <x v="1"/>
  </r>
  <r>
    <s v="TX500252"/>
    <x v="12"/>
    <x v="0"/>
    <n v="30.2"/>
    <n v="30.2"/>
    <x v="10"/>
    <d v="2025-01-15T00:00:00"/>
    <x v="1"/>
    <x v="1"/>
    <x v="2"/>
    <x v="0"/>
    <x v="2"/>
    <x v="5"/>
    <x v="1"/>
    <x v="1"/>
  </r>
  <r>
    <s v="TX500253"/>
    <x v="18"/>
    <x v="2"/>
    <n v="65.3"/>
    <n v="195.89999999999998"/>
    <x v="10"/>
    <d v="2025-01-12T00:00:00"/>
    <x v="3"/>
    <x v="1"/>
    <x v="0"/>
    <x v="0"/>
    <x v="33"/>
    <x v="3"/>
    <x v="1"/>
    <x v="3"/>
  </r>
  <r>
    <s v="TX500254"/>
    <x v="0"/>
    <x v="1"/>
    <n v="33.4"/>
    <n v="66.8"/>
    <x v="10"/>
    <d v="2025-01-12T00:00:00"/>
    <x v="1"/>
    <x v="1"/>
    <x v="1"/>
    <x v="0"/>
    <x v="22"/>
    <x v="3"/>
    <x v="1"/>
    <x v="1"/>
  </r>
  <r>
    <s v="TX500255"/>
    <x v="7"/>
    <x v="1"/>
    <n v="45.1"/>
    <n v="90.2"/>
    <x v="10"/>
    <d v="2025-01-19T00:00:00"/>
    <x v="1"/>
    <x v="0"/>
    <x v="0"/>
    <x v="0"/>
    <x v="34"/>
    <x v="9"/>
    <x v="1"/>
    <x v="1"/>
  </r>
  <r>
    <s v="TX500256"/>
    <x v="2"/>
    <x v="3"/>
    <n v="61.7"/>
    <n v="431.90000000000003"/>
    <x v="10"/>
    <d v="2025-01-13T00:00:00"/>
    <x v="2"/>
    <x v="4"/>
    <x v="0"/>
    <x v="0"/>
    <x v="3"/>
    <x v="1"/>
    <x v="1"/>
    <x v="2"/>
  </r>
  <r>
    <s v="TX500257"/>
    <x v="9"/>
    <x v="2"/>
    <n v="45.1"/>
    <n v="135.30000000000001"/>
    <x v="11"/>
    <d v="2025-01-13T00:00:00"/>
    <x v="1"/>
    <x v="4"/>
    <x v="1"/>
    <x v="0"/>
    <x v="3"/>
    <x v="3"/>
    <x v="2"/>
    <x v="1"/>
  </r>
  <r>
    <s v="TX500258"/>
    <x v="15"/>
    <x v="9"/>
    <n v="22.7"/>
    <n v="113.5"/>
    <x v="11"/>
    <d v="2025-01-17T00:00:00"/>
    <x v="1"/>
    <x v="0"/>
    <x v="2"/>
    <x v="0"/>
    <x v="35"/>
    <x v="0"/>
    <x v="2"/>
    <x v="1"/>
  </r>
  <r>
    <s v="TX500259"/>
    <x v="8"/>
    <x v="0"/>
    <n v="17.600000000000001"/>
    <n v="17.600000000000001"/>
    <x v="11"/>
    <d v="2025-01-13T00:00:00"/>
    <x v="2"/>
    <x v="0"/>
    <x v="2"/>
    <x v="0"/>
    <x v="23"/>
    <x v="3"/>
    <x v="2"/>
    <x v="2"/>
  </r>
  <r>
    <s v="TX500260"/>
    <x v="14"/>
    <x v="1"/>
    <n v="11.3"/>
    <n v="22.6"/>
    <x v="11"/>
    <d v="2025-01-15T00:00:00"/>
    <x v="2"/>
    <x v="3"/>
    <x v="2"/>
    <x v="0"/>
    <x v="23"/>
    <x v="2"/>
    <x v="2"/>
    <x v="2"/>
  </r>
  <r>
    <s v="TX500261"/>
    <x v="6"/>
    <x v="2"/>
    <n v="53.4"/>
    <n v="160.19999999999999"/>
    <x v="11"/>
    <d v="2025-01-15T00:00:00"/>
    <x v="1"/>
    <x v="3"/>
    <x v="2"/>
    <x v="0"/>
    <x v="36"/>
    <x v="2"/>
    <x v="2"/>
    <x v="1"/>
  </r>
  <r>
    <s v="TX500262"/>
    <x v="6"/>
    <x v="5"/>
    <n v="51.1"/>
    <n v="562.1"/>
    <x v="11"/>
    <d v="2025-01-14T00:00:00"/>
    <x v="2"/>
    <x v="2"/>
    <x v="2"/>
    <x v="0"/>
    <x v="8"/>
    <x v="1"/>
    <x v="2"/>
    <x v="2"/>
  </r>
  <r>
    <s v="TX500263"/>
    <x v="8"/>
    <x v="1"/>
    <n v="27.5"/>
    <n v="55"/>
    <x v="11"/>
    <d v="2025-01-13T00:00:00"/>
    <x v="1"/>
    <x v="4"/>
    <x v="1"/>
    <x v="0"/>
    <x v="8"/>
    <x v="3"/>
    <x v="2"/>
    <x v="1"/>
  </r>
  <r>
    <s v="TX500264"/>
    <x v="9"/>
    <x v="0"/>
    <n v="33.5"/>
    <n v="33.5"/>
    <x v="11"/>
    <d v="2025-01-14T00:00:00"/>
    <x v="2"/>
    <x v="0"/>
    <x v="4"/>
    <x v="0"/>
    <x v="8"/>
    <x v="1"/>
    <x v="2"/>
    <x v="2"/>
  </r>
  <r>
    <s v="TX500265"/>
    <x v="4"/>
    <x v="0"/>
    <n v="59.5"/>
    <n v="59.5"/>
    <x v="11"/>
    <d v="2025-01-12T00:00:00"/>
    <x v="1"/>
    <x v="0"/>
    <x v="2"/>
    <x v="0"/>
    <x v="18"/>
    <x v="7"/>
    <x v="2"/>
    <x v="1"/>
  </r>
  <r>
    <s v="TX500266"/>
    <x v="17"/>
    <x v="12"/>
    <n v="23.5"/>
    <n v="94"/>
    <x v="11"/>
    <d v="2025-01-13T00:00:00"/>
    <x v="2"/>
    <x v="3"/>
    <x v="3"/>
    <x v="0"/>
    <x v="19"/>
    <x v="3"/>
    <x v="2"/>
    <x v="2"/>
  </r>
  <r>
    <s v="TX500267"/>
    <x v="6"/>
    <x v="0"/>
    <n v="49.7"/>
    <n v="49.7"/>
    <x v="11"/>
    <d v="2025-01-13T00:00:00"/>
    <x v="0"/>
    <x v="1"/>
    <x v="2"/>
    <x v="0"/>
    <x v="20"/>
    <x v="3"/>
    <x v="2"/>
    <x v="0"/>
  </r>
  <r>
    <s v="TX500268"/>
    <x v="6"/>
    <x v="12"/>
    <n v="44.2"/>
    <n v="176.8"/>
    <x v="11"/>
    <d v="2025-01-15T00:00:00"/>
    <x v="2"/>
    <x v="0"/>
    <x v="2"/>
    <x v="0"/>
    <x v="21"/>
    <x v="2"/>
    <x v="2"/>
    <x v="2"/>
  </r>
  <r>
    <s v="TX500269"/>
    <x v="8"/>
    <x v="0"/>
    <n v="22.1"/>
    <n v="22.1"/>
    <x v="11"/>
    <d v="2025-01-16T00:00:00"/>
    <x v="2"/>
    <x v="1"/>
    <x v="1"/>
    <x v="0"/>
    <x v="33"/>
    <x v="5"/>
    <x v="2"/>
    <x v="2"/>
  </r>
  <r>
    <s v="TX500270"/>
    <x v="6"/>
    <x v="2"/>
    <n v="90.9"/>
    <n v="272.70000000000005"/>
    <x v="11"/>
    <d v="2025-01-13T00:00:00"/>
    <x v="2"/>
    <x v="2"/>
    <x v="4"/>
    <x v="0"/>
    <x v="3"/>
    <x v="3"/>
    <x v="2"/>
    <x v="2"/>
  </r>
  <r>
    <s v="TX500271"/>
    <x v="8"/>
    <x v="2"/>
    <n v="44.5"/>
    <n v="133.5"/>
    <x v="11"/>
    <d v="2025-01-13T00:00:00"/>
    <x v="2"/>
    <x v="1"/>
    <x v="0"/>
    <x v="0"/>
    <x v="3"/>
    <x v="3"/>
    <x v="2"/>
    <x v="2"/>
  </r>
  <r>
    <s v="TX500272"/>
    <x v="9"/>
    <x v="13"/>
    <n v="32.299999999999997"/>
    <n v="193.79999999999998"/>
    <x v="11"/>
    <d v="2025-01-16T00:00:00"/>
    <x v="2"/>
    <x v="0"/>
    <x v="0"/>
    <x v="0"/>
    <x v="3"/>
    <x v="5"/>
    <x v="2"/>
    <x v="2"/>
  </r>
  <r>
    <s v="TX500273"/>
    <x v="17"/>
    <x v="2"/>
    <n v="87.5"/>
    <n v="262.5"/>
    <x v="11"/>
    <d v="2025-01-13T00:00:00"/>
    <x v="2"/>
    <x v="1"/>
    <x v="1"/>
    <x v="0"/>
    <x v="3"/>
    <x v="3"/>
    <x v="2"/>
    <x v="2"/>
  </r>
  <r>
    <s v="TX500274"/>
    <x v="16"/>
    <x v="9"/>
    <n v="48.7"/>
    <n v="243.5"/>
    <x v="11"/>
    <d v="2025-01-13T00:00:00"/>
    <x v="1"/>
    <x v="2"/>
    <x v="0"/>
    <x v="0"/>
    <x v="3"/>
    <x v="3"/>
    <x v="2"/>
    <x v="1"/>
  </r>
  <r>
    <s v="TX500275"/>
    <x v="0"/>
    <x v="9"/>
    <n v="22.5"/>
    <n v="112.5"/>
    <x v="11"/>
    <d v="2025-01-13T00:00:00"/>
    <x v="1"/>
    <x v="0"/>
    <x v="0"/>
    <x v="0"/>
    <x v="3"/>
    <x v="3"/>
    <x v="2"/>
    <x v="1"/>
  </r>
  <r>
    <s v="TX500276"/>
    <x v="1"/>
    <x v="8"/>
    <n v="65.900000000000006"/>
    <n v="527.20000000000005"/>
    <x v="11"/>
    <d v="2025-01-15T00:00:00"/>
    <x v="2"/>
    <x v="1"/>
    <x v="2"/>
    <x v="0"/>
    <x v="3"/>
    <x v="2"/>
    <x v="2"/>
    <x v="2"/>
  </r>
  <r>
    <s v="TX500277"/>
    <x v="6"/>
    <x v="9"/>
    <n v="41.9"/>
    <n v="209.5"/>
    <x v="11"/>
    <d v="2025-01-19T00:00:00"/>
    <x v="0"/>
    <x v="0"/>
    <x v="0"/>
    <x v="0"/>
    <x v="3"/>
    <x v="6"/>
    <x v="2"/>
    <x v="0"/>
  </r>
  <r>
    <s v="TX500278"/>
    <x v="1"/>
    <x v="9"/>
    <n v="67.5"/>
    <n v="337.5"/>
    <x v="11"/>
    <d v="2025-01-13T00:00:00"/>
    <x v="2"/>
    <x v="0"/>
    <x v="2"/>
    <x v="0"/>
    <x v="3"/>
    <x v="3"/>
    <x v="2"/>
    <x v="2"/>
  </r>
  <r>
    <s v="TX500279"/>
    <x v="9"/>
    <x v="0"/>
    <n v="60.4"/>
    <n v="60.4"/>
    <x v="12"/>
    <d v="2025-01-15T00:00:00"/>
    <x v="2"/>
    <x v="1"/>
    <x v="1"/>
    <x v="0"/>
    <x v="3"/>
    <x v="1"/>
    <x v="2"/>
    <x v="2"/>
  </r>
  <r>
    <s v="TX500280"/>
    <x v="1"/>
    <x v="3"/>
    <n v="30.4"/>
    <n v="212.79999999999998"/>
    <x v="12"/>
    <d v="2025-01-16T00:00:00"/>
    <x v="2"/>
    <x v="4"/>
    <x v="0"/>
    <x v="0"/>
    <x v="3"/>
    <x v="2"/>
    <x v="2"/>
    <x v="2"/>
  </r>
  <r>
    <s v="TX500281"/>
    <x v="14"/>
    <x v="1"/>
    <n v="24.5"/>
    <n v="49"/>
    <x v="12"/>
    <d v="2025-01-14T00:00:00"/>
    <x v="1"/>
    <x v="3"/>
    <x v="2"/>
    <x v="0"/>
    <x v="3"/>
    <x v="3"/>
    <x v="2"/>
    <x v="1"/>
  </r>
  <r>
    <s v="TX500282"/>
    <x v="2"/>
    <x v="2"/>
    <n v="105.9"/>
    <n v="317.70000000000005"/>
    <x v="12"/>
    <d v="2025-01-18T00:00:00"/>
    <x v="1"/>
    <x v="0"/>
    <x v="0"/>
    <x v="0"/>
    <x v="37"/>
    <x v="0"/>
    <x v="2"/>
    <x v="1"/>
  </r>
  <r>
    <s v="TX500283"/>
    <x v="10"/>
    <x v="25"/>
    <n v="25.9"/>
    <n v="621.59999999999991"/>
    <x v="12"/>
    <d v="2025-01-14T00:00:00"/>
    <x v="2"/>
    <x v="4"/>
    <x v="0"/>
    <x v="0"/>
    <x v="23"/>
    <x v="3"/>
    <x v="2"/>
    <x v="2"/>
  </r>
  <r>
    <s v="TX500284"/>
    <x v="6"/>
    <x v="2"/>
    <n v="66.8"/>
    <n v="200.39999999999998"/>
    <x v="12"/>
    <d v="2025-01-13T00:00:00"/>
    <x v="1"/>
    <x v="0"/>
    <x v="0"/>
    <x v="0"/>
    <x v="23"/>
    <x v="7"/>
    <x v="2"/>
    <x v="1"/>
  </r>
  <r>
    <s v="TX500285"/>
    <x v="6"/>
    <x v="2"/>
    <n v="112.3"/>
    <n v="336.9"/>
    <x v="12"/>
    <d v="2025-01-14T00:00:00"/>
    <x v="1"/>
    <x v="2"/>
    <x v="4"/>
    <x v="0"/>
    <x v="6"/>
    <x v="3"/>
    <x v="2"/>
    <x v="1"/>
  </r>
  <r>
    <s v="TX500286"/>
    <x v="1"/>
    <x v="13"/>
    <n v="94.1"/>
    <n v="564.59999999999991"/>
    <x v="12"/>
    <d v="2025-01-14T00:00:00"/>
    <x v="2"/>
    <x v="0"/>
    <x v="4"/>
    <x v="0"/>
    <x v="6"/>
    <x v="3"/>
    <x v="2"/>
    <x v="2"/>
  </r>
  <r>
    <s v="TX500287"/>
    <x v="5"/>
    <x v="0"/>
    <n v="40.700000000000003"/>
    <n v="40.700000000000003"/>
    <x v="12"/>
    <d v="2025-01-16T00:00:00"/>
    <x v="2"/>
    <x v="2"/>
    <x v="0"/>
    <x v="0"/>
    <x v="6"/>
    <x v="2"/>
    <x v="2"/>
    <x v="2"/>
  </r>
  <r>
    <s v="TX500288"/>
    <x v="3"/>
    <x v="1"/>
    <n v="71.400000000000006"/>
    <n v="142.80000000000001"/>
    <x v="12"/>
    <d v="2025-01-14T00:00:00"/>
    <x v="1"/>
    <x v="0"/>
    <x v="0"/>
    <x v="0"/>
    <x v="7"/>
    <x v="3"/>
    <x v="2"/>
    <x v="1"/>
  </r>
  <r>
    <s v="TX500289"/>
    <x v="0"/>
    <x v="16"/>
    <n v="15.6"/>
    <n v="280.8"/>
    <x v="12"/>
    <d v="2025-01-14T00:00:00"/>
    <x v="1"/>
    <x v="1"/>
    <x v="3"/>
    <x v="0"/>
    <x v="8"/>
    <x v="3"/>
    <x v="2"/>
    <x v="1"/>
  </r>
  <r>
    <s v="TX500290"/>
    <x v="10"/>
    <x v="12"/>
    <n v="37.799999999999997"/>
    <n v="151.19999999999999"/>
    <x v="12"/>
    <d v="2025-01-14T00:00:00"/>
    <x v="1"/>
    <x v="2"/>
    <x v="2"/>
    <x v="0"/>
    <x v="8"/>
    <x v="3"/>
    <x v="2"/>
    <x v="1"/>
  </r>
  <r>
    <s v="TX500291"/>
    <x v="4"/>
    <x v="2"/>
    <n v="28.1"/>
    <n v="84.300000000000011"/>
    <x v="12"/>
    <d v="2025-01-17T00:00:00"/>
    <x v="1"/>
    <x v="0"/>
    <x v="0"/>
    <x v="0"/>
    <x v="8"/>
    <x v="5"/>
    <x v="2"/>
    <x v="1"/>
  </r>
  <r>
    <s v="TX500292"/>
    <x v="7"/>
    <x v="13"/>
    <n v="51.4"/>
    <n v="308.39999999999998"/>
    <x v="12"/>
    <d v="2025-01-17T00:00:00"/>
    <x v="1"/>
    <x v="0"/>
    <x v="0"/>
    <x v="0"/>
    <x v="8"/>
    <x v="5"/>
    <x v="2"/>
    <x v="1"/>
  </r>
  <r>
    <s v="TX500293"/>
    <x v="7"/>
    <x v="1"/>
    <n v="97.7"/>
    <n v="195.4"/>
    <x v="12"/>
    <d v="2025-01-15T00:00:00"/>
    <x v="2"/>
    <x v="4"/>
    <x v="2"/>
    <x v="0"/>
    <x v="17"/>
    <x v="1"/>
    <x v="2"/>
    <x v="2"/>
  </r>
  <r>
    <s v="TX500294"/>
    <x v="1"/>
    <x v="12"/>
    <n v="63.8"/>
    <n v="255.2"/>
    <x v="12"/>
    <d v="2025-01-14T00:00:00"/>
    <x v="1"/>
    <x v="2"/>
    <x v="0"/>
    <x v="0"/>
    <x v="38"/>
    <x v="3"/>
    <x v="2"/>
    <x v="1"/>
  </r>
  <r>
    <s v="TX500295"/>
    <x v="13"/>
    <x v="1"/>
    <n v="20.100000000000001"/>
    <n v="40.200000000000003"/>
    <x v="12"/>
    <d v="2025-01-15T00:00:00"/>
    <x v="1"/>
    <x v="0"/>
    <x v="2"/>
    <x v="0"/>
    <x v="20"/>
    <x v="1"/>
    <x v="2"/>
    <x v="1"/>
  </r>
  <r>
    <s v="TX500296"/>
    <x v="11"/>
    <x v="2"/>
    <n v="50.4"/>
    <n v="151.19999999999999"/>
    <x v="12"/>
    <d v="2025-01-16T00:00:00"/>
    <x v="2"/>
    <x v="3"/>
    <x v="0"/>
    <x v="0"/>
    <x v="13"/>
    <x v="2"/>
    <x v="2"/>
    <x v="2"/>
  </r>
  <r>
    <s v="TX500297"/>
    <x v="0"/>
    <x v="0"/>
    <n v="16.2"/>
    <n v="16.2"/>
    <x v="12"/>
    <d v="2025-01-26T00:00:00"/>
    <x v="2"/>
    <x v="1"/>
    <x v="0"/>
    <x v="0"/>
    <x v="1"/>
    <x v="10"/>
    <x v="2"/>
    <x v="2"/>
  </r>
  <r>
    <s v="TX500298"/>
    <x v="6"/>
    <x v="3"/>
    <n v="80.900000000000006"/>
    <n v="566.30000000000007"/>
    <x v="12"/>
    <d v="2025-01-15T00:00:00"/>
    <x v="1"/>
    <x v="4"/>
    <x v="4"/>
    <x v="0"/>
    <x v="2"/>
    <x v="1"/>
    <x v="2"/>
    <x v="1"/>
  </r>
  <r>
    <s v="TX500299"/>
    <x v="9"/>
    <x v="13"/>
    <n v="95.2"/>
    <n v="571.20000000000005"/>
    <x v="12"/>
    <d v="2025-01-15T00:00:00"/>
    <x v="2"/>
    <x v="0"/>
    <x v="2"/>
    <x v="0"/>
    <x v="2"/>
    <x v="1"/>
    <x v="2"/>
    <x v="2"/>
  </r>
  <r>
    <s v="TX500300"/>
    <x v="5"/>
    <x v="8"/>
    <n v="70.400000000000006"/>
    <n v="563.20000000000005"/>
    <x v="12"/>
    <d v="2025-01-14T00:00:00"/>
    <x v="1"/>
    <x v="1"/>
    <x v="1"/>
    <x v="0"/>
    <x v="3"/>
    <x v="3"/>
    <x v="2"/>
    <x v="1"/>
  </r>
  <r>
    <s v="TX500301"/>
    <x v="0"/>
    <x v="9"/>
    <n v="10.7"/>
    <n v="53.5"/>
    <x v="12"/>
    <d v="2025-01-17T00:00:00"/>
    <x v="2"/>
    <x v="2"/>
    <x v="0"/>
    <x v="0"/>
    <x v="3"/>
    <x v="5"/>
    <x v="2"/>
    <x v="2"/>
  </r>
  <r>
    <s v="TX500302"/>
    <x v="8"/>
    <x v="9"/>
    <n v="19.600000000000001"/>
    <n v="98"/>
    <x v="12"/>
    <d v="2025-01-15T00:00:00"/>
    <x v="2"/>
    <x v="0"/>
    <x v="3"/>
    <x v="0"/>
    <x v="3"/>
    <x v="1"/>
    <x v="2"/>
    <x v="2"/>
  </r>
  <r>
    <s v="TX500303"/>
    <x v="8"/>
    <x v="5"/>
    <n v="34.700000000000003"/>
    <n v="381.70000000000005"/>
    <x v="12"/>
    <d v="2025-01-15T00:00:00"/>
    <x v="2"/>
    <x v="0"/>
    <x v="2"/>
    <x v="0"/>
    <x v="3"/>
    <x v="1"/>
    <x v="2"/>
    <x v="2"/>
  </r>
  <r>
    <s v="TX500304"/>
    <x v="10"/>
    <x v="11"/>
    <n v="34.1"/>
    <n v="306.90000000000003"/>
    <x v="12"/>
    <d v="2025-01-14T00:00:00"/>
    <x v="2"/>
    <x v="4"/>
    <x v="1"/>
    <x v="0"/>
    <x v="3"/>
    <x v="3"/>
    <x v="2"/>
    <x v="2"/>
  </r>
  <r>
    <s v="TX500305"/>
    <x v="0"/>
    <x v="26"/>
    <n v="29.3"/>
    <n v="1435.7"/>
    <x v="12"/>
    <d v="2025-01-13T00:00:00"/>
    <x v="1"/>
    <x v="0"/>
    <x v="1"/>
    <x v="0"/>
    <x v="3"/>
    <x v="7"/>
    <x v="2"/>
    <x v="1"/>
  </r>
  <r>
    <s v="TX500306"/>
    <x v="1"/>
    <x v="0"/>
    <n v="55.2"/>
    <n v="55.2"/>
    <x v="12"/>
    <d v="2025-01-14T00:00:00"/>
    <x v="2"/>
    <x v="0"/>
    <x v="1"/>
    <x v="0"/>
    <x v="3"/>
    <x v="3"/>
    <x v="2"/>
    <x v="2"/>
  </r>
  <r>
    <s v="TX500307"/>
    <x v="18"/>
    <x v="2"/>
    <n v="26"/>
    <n v="78"/>
    <x v="12"/>
    <d v="2025-01-16T00:00:00"/>
    <x v="2"/>
    <x v="0"/>
    <x v="2"/>
    <x v="0"/>
    <x v="3"/>
    <x v="2"/>
    <x v="2"/>
    <x v="2"/>
  </r>
  <r>
    <s v="TX500308"/>
    <x v="14"/>
    <x v="1"/>
    <n v="14.2"/>
    <n v="28.4"/>
    <x v="12"/>
    <d v="2025-01-18T00:00:00"/>
    <x v="2"/>
    <x v="3"/>
    <x v="0"/>
    <x v="0"/>
    <x v="39"/>
    <x v="0"/>
    <x v="2"/>
    <x v="2"/>
  </r>
  <r>
    <s v="TX500309"/>
    <x v="8"/>
    <x v="11"/>
    <n v="22.7"/>
    <n v="204.29999999999998"/>
    <x v="13"/>
    <d v="2025-01-15T00:00:00"/>
    <x v="1"/>
    <x v="1"/>
    <x v="0"/>
    <x v="0"/>
    <x v="6"/>
    <x v="3"/>
    <x v="2"/>
    <x v="1"/>
  </r>
  <r>
    <s v="TX500310"/>
    <x v="0"/>
    <x v="20"/>
    <n v="19.8"/>
    <n v="297"/>
    <x v="13"/>
    <d v="2025-01-14T00:00:00"/>
    <x v="2"/>
    <x v="0"/>
    <x v="2"/>
    <x v="0"/>
    <x v="6"/>
    <x v="7"/>
    <x v="2"/>
    <x v="2"/>
  </r>
  <r>
    <s v="TX500311"/>
    <x v="0"/>
    <x v="2"/>
    <n v="31.7"/>
    <n v="95.1"/>
    <x v="13"/>
    <d v="2025-01-15T00:00:00"/>
    <x v="1"/>
    <x v="2"/>
    <x v="0"/>
    <x v="0"/>
    <x v="6"/>
    <x v="3"/>
    <x v="2"/>
    <x v="1"/>
  </r>
  <r>
    <s v="TX500312"/>
    <x v="8"/>
    <x v="12"/>
    <n v="30.4"/>
    <n v="121.6"/>
    <x v="13"/>
    <d v="2025-01-18T00:00:00"/>
    <x v="1"/>
    <x v="0"/>
    <x v="0"/>
    <x v="0"/>
    <x v="6"/>
    <x v="5"/>
    <x v="2"/>
    <x v="1"/>
  </r>
  <r>
    <s v="TX500313"/>
    <x v="0"/>
    <x v="12"/>
    <n v="25.6"/>
    <n v="102.4"/>
    <x v="13"/>
    <d v="2025-01-15T00:00:00"/>
    <x v="1"/>
    <x v="3"/>
    <x v="0"/>
    <x v="0"/>
    <x v="8"/>
    <x v="3"/>
    <x v="2"/>
    <x v="1"/>
  </r>
  <r>
    <s v="TX500314"/>
    <x v="5"/>
    <x v="1"/>
    <n v="34.9"/>
    <n v="69.8"/>
    <x v="13"/>
    <d v="2025-01-15T00:00:00"/>
    <x v="2"/>
    <x v="2"/>
    <x v="0"/>
    <x v="0"/>
    <x v="9"/>
    <x v="3"/>
    <x v="2"/>
    <x v="2"/>
  </r>
  <r>
    <s v="TX500315"/>
    <x v="7"/>
    <x v="13"/>
    <n v="42.7"/>
    <n v="256.20000000000005"/>
    <x v="13"/>
    <d v="2025-01-17T00:00:00"/>
    <x v="1"/>
    <x v="2"/>
    <x v="1"/>
    <x v="0"/>
    <x v="11"/>
    <x v="2"/>
    <x v="2"/>
    <x v="1"/>
  </r>
  <r>
    <s v="TX500316"/>
    <x v="8"/>
    <x v="0"/>
    <n v="23.9"/>
    <n v="23.9"/>
    <x v="13"/>
    <d v="2025-01-16T00:00:00"/>
    <x v="2"/>
    <x v="3"/>
    <x v="0"/>
    <x v="0"/>
    <x v="11"/>
    <x v="1"/>
    <x v="2"/>
    <x v="2"/>
  </r>
  <r>
    <s v="TX500317"/>
    <x v="6"/>
    <x v="0"/>
    <n v="124.3"/>
    <n v="124.3"/>
    <x v="13"/>
    <d v="2025-01-15T00:00:00"/>
    <x v="0"/>
    <x v="2"/>
    <x v="1"/>
    <x v="0"/>
    <x v="21"/>
    <x v="3"/>
    <x v="2"/>
    <x v="0"/>
  </r>
  <r>
    <s v="TX500318"/>
    <x v="8"/>
    <x v="13"/>
    <n v="35.9"/>
    <n v="215.39999999999998"/>
    <x v="13"/>
    <d v="2025-01-15T00:00:00"/>
    <x v="2"/>
    <x v="0"/>
    <x v="1"/>
    <x v="0"/>
    <x v="1"/>
    <x v="3"/>
    <x v="2"/>
    <x v="2"/>
  </r>
  <r>
    <s v="TX500319"/>
    <x v="2"/>
    <x v="1"/>
    <n v="69.099999999999994"/>
    <n v="138.19999999999999"/>
    <x v="13"/>
    <d v="2025-01-17T00:00:00"/>
    <x v="2"/>
    <x v="0"/>
    <x v="2"/>
    <x v="0"/>
    <x v="22"/>
    <x v="2"/>
    <x v="2"/>
    <x v="2"/>
  </r>
  <r>
    <s v="TX500320"/>
    <x v="7"/>
    <x v="0"/>
    <n v="58.4"/>
    <n v="58.4"/>
    <x v="13"/>
    <d v="2025-01-18T00:00:00"/>
    <x v="1"/>
    <x v="0"/>
    <x v="0"/>
    <x v="0"/>
    <x v="22"/>
    <x v="5"/>
    <x v="2"/>
    <x v="1"/>
  </r>
  <r>
    <s v="TX500321"/>
    <x v="5"/>
    <x v="0"/>
    <n v="65.2"/>
    <n v="65.2"/>
    <x v="13"/>
    <d v="2025-01-16T00:00:00"/>
    <x v="3"/>
    <x v="4"/>
    <x v="4"/>
    <x v="0"/>
    <x v="3"/>
    <x v="1"/>
    <x v="2"/>
    <x v="3"/>
  </r>
  <r>
    <s v="TX500322"/>
    <x v="8"/>
    <x v="14"/>
    <n v="32.700000000000003"/>
    <n v="555.90000000000009"/>
    <x v="13"/>
    <d v="2025-01-21T00:00:00"/>
    <x v="0"/>
    <x v="4"/>
    <x v="0"/>
    <x v="0"/>
    <x v="3"/>
    <x v="6"/>
    <x v="2"/>
    <x v="0"/>
  </r>
  <r>
    <s v="TX500323"/>
    <x v="10"/>
    <x v="3"/>
    <n v="24.4"/>
    <n v="170.79999999999998"/>
    <x v="13"/>
    <d v="2025-01-15T00:00:00"/>
    <x v="2"/>
    <x v="0"/>
    <x v="0"/>
    <x v="0"/>
    <x v="3"/>
    <x v="3"/>
    <x v="2"/>
    <x v="2"/>
  </r>
  <r>
    <s v="TX500324"/>
    <x v="14"/>
    <x v="1"/>
    <n v="50.4"/>
    <n v="100.8"/>
    <x v="13"/>
    <d v="2025-01-20T00:00:00"/>
    <x v="1"/>
    <x v="0"/>
    <x v="1"/>
    <x v="0"/>
    <x v="3"/>
    <x v="4"/>
    <x v="2"/>
    <x v="1"/>
  </r>
  <r>
    <s v="TX500325"/>
    <x v="1"/>
    <x v="1"/>
    <n v="100"/>
    <n v="200"/>
    <x v="13"/>
    <d v="2025-01-15T00:00:00"/>
    <x v="2"/>
    <x v="0"/>
    <x v="0"/>
    <x v="0"/>
    <x v="3"/>
    <x v="3"/>
    <x v="2"/>
    <x v="2"/>
  </r>
  <r>
    <s v="TX500326"/>
    <x v="10"/>
    <x v="2"/>
    <n v="43"/>
    <n v="129"/>
    <x v="14"/>
    <d v="2025-01-15T00:00:00"/>
    <x v="2"/>
    <x v="2"/>
    <x v="1"/>
    <x v="0"/>
    <x v="3"/>
    <x v="7"/>
    <x v="2"/>
    <x v="2"/>
  </r>
  <r>
    <s v="TX500327"/>
    <x v="1"/>
    <x v="9"/>
    <n v="64.400000000000006"/>
    <n v="322"/>
    <x v="14"/>
    <d v="2025-01-17T00:00:00"/>
    <x v="1"/>
    <x v="2"/>
    <x v="1"/>
    <x v="0"/>
    <x v="3"/>
    <x v="1"/>
    <x v="2"/>
    <x v="1"/>
  </r>
  <r>
    <s v="TX500328"/>
    <x v="18"/>
    <x v="1"/>
    <n v="57.4"/>
    <n v="114.8"/>
    <x v="14"/>
    <d v="2025-01-16T00:00:00"/>
    <x v="1"/>
    <x v="2"/>
    <x v="1"/>
    <x v="0"/>
    <x v="3"/>
    <x v="3"/>
    <x v="2"/>
    <x v="1"/>
  </r>
  <r>
    <s v="TX500329"/>
    <x v="2"/>
    <x v="2"/>
    <n v="55.1"/>
    <n v="165.3"/>
    <x v="14"/>
    <d v="2025-01-18T00:00:00"/>
    <x v="2"/>
    <x v="1"/>
    <x v="0"/>
    <x v="0"/>
    <x v="3"/>
    <x v="2"/>
    <x v="2"/>
    <x v="2"/>
  </r>
  <r>
    <s v="TX500330"/>
    <x v="7"/>
    <x v="12"/>
    <n v="45.4"/>
    <n v="181.6"/>
    <x v="14"/>
    <d v="2025-01-16T00:00:00"/>
    <x v="2"/>
    <x v="1"/>
    <x v="0"/>
    <x v="0"/>
    <x v="3"/>
    <x v="3"/>
    <x v="2"/>
    <x v="2"/>
  </r>
  <r>
    <s v="TX500331"/>
    <x v="3"/>
    <x v="2"/>
    <n v="93.3"/>
    <n v="279.89999999999998"/>
    <x v="14"/>
    <d v="2025-01-16T00:00:00"/>
    <x v="2"/>
    <x v="0"/>
    <x v="0"/>
    <x v="0"/>
    <x v="40"/>
    <x v="3"/>
    <x v="2"/>
    <x v="2"/>
  </r>
  <r>
    <s v="TX500332"/>
    <x v="2"/>
    <x v="10"/>
    <n v="158.19999999999999"/>
    <n v="3005.7999999999997"/>
    <x v="14"/>
    <d v="2025-01-16T00:00:00"/>
    <x v="2"/>
    <x v="1"/>
    <x v="2"/>
    <x v="0"/>
    <x v="16"/>
    <x v="3"/>
    <x v="2"/>
    <x v="2"/>
  </r>
  <r>
    <s v="TX500333"/>
    <x v="2"/>
    <x v="1"/>
    <n v="74.900000000000006"/>
    <n v="149.80000000000001"/>
    <x v="14"/>
    <d v="2025-01-17T00:00:00"/>
    <x v="1"/>
    <x v="3"/>
    <x v="0"/>
    <x v="0"/>
    <x v="6"/>
    <x v="1"/>
    <x v="2"/>
    <x v="1"/>
  </r>
  <r>
    <s v="TX500334"/>
    <x v="8"/>
    <x v="3"/>
    <n v="26"/>
    <n v="182"/>
    <x v="14"/>
    <d v="2025-01-18T00:00:00"/>
    <x v="2"/>
    <x v="1"/>
    <x v="0"/>
    <x v="0"/>
    <x v="8"/>
    <x v="2"/>
    <x v="2"/>
    <x v="2"/>
  </r>
  <r>
    <s v="TX500335"/>
    <x v="9"/>
    <x v="13"/>
    <n v="37.5"/>
    <n v="225"/>
    <x v="14"/>
    <d v="2025-01-16T00:00:00"/>
    <x v="2"/>
    <x v="0"/>
    <x v="1"/>
    <x v="0"/>
    <x v="8"/>
    <x v="3"/>
    <x v="2"/>
    <x v="2"/>
  </r>
  <r>
    <s v="TX500336"/>
    <x v="6"/>
    <x v="1"/>
    <n v="75.8"/>
    <n v="151.6"/>
    <x v="14"/>
    <d v="2025-01-21T00:00:00"/>
    <x v="1"/>
    <x v="0"/>
    <x v="0"/>
    <x v="0"/>
    <x v="8"/>
    <x v="4"/>
    <x v="2"/>
    <x v="1"/>
  </r>
  <r>
    <s v="TX500337"/>
    <x v="7"/>
    <x v="0"/>
    <n v="48.5"/>
    <n v="48.5"/>
    <x v="14"/>
    <d v="2025-01-27T00:00:00"/>
    <x v="0"/>
    <x v="4"/>
    <x v="2"/>
    <x v="0"/>
    <x v="8"/>
    <x v="13"/>
    <x v="2"/>
    <x v="0"/>
  </r>
  <r>
    <s v="TX500338"/>
    <x v="6"/>
    <x v="2"/>
    <n v="98.9"/>
    <n v="296.70000000000005"/>
    <x v="14"/>
    <d v="2025-01-17T00:00:00"/>
    <x v="2"/>
    <x v="4"/>
    <x v="1"/>
    <x v="0"/>
    <x v="8"/>
    <x v="1"/>
    <x v="2"/>
    <x v="2"/>
  </r>
  <r>
    <s v="TX500339"/>
    <x v="1"/>
    <x v="4"/>
    <n v="50.9"/>
    <n v="610.79999999999995"/>
    <x v="14"/>
    <d v="2025-01-15T00:00:00"/>
    <x v="1"/>
    <x v="4"/>
    <x v="0"/>
    <x v="0"/>
    <x v="8"/>
    <x v="7"/>
    <x v="2"/>
    <x v="1"/>
  </r>
  <r>
    <s v="TX500340"/>
    <x v="12"/>
    <x v="13"/>
    <n v="84.7"/>
    <n v="508.20000000000005"/>
    <x v="14"/>
    <d v="2025-01-15T00:00:00"/>
    <x v="2"/>
    <x v="2"/>
    <x v="0"/>
    <x v="0"/>
    <x v="8"/>
    <x v="7"/>
    <x v="2"/>
    <x v="2"/>
  </r>
  <r>
    <s v="TX500341"/>
    <x v="8"/>
    <x v="0"/>
    <n v="20.7"/>
    <n v="20.7"/>
    <x v="14"/>
    <d v="2025-01-17T00:00:00"/>
    <x v="2"/>
    <x v="3"/>
    <x v="2"/>
    <x v="0"/>
    <x v="8"/>
    <x v="1"/>
    <x v="2"/>
    <x v="2"/>
  </r>
  <r>
    <s v="TX500342"/>
    <x v="12"/>
    <x v="11"/>
    <n v="57.8"/>
    <n v="520.19999999999993"/>
    <x v="14"/>
    <d v="2025-01-26T00:00:00"/>
    <x v="1"/>
    <x v="0"/>
    <x v="4"/>
    <x v="0"/>
    <x v="17"/>
    <x v="11"/>
    <x v="2"/>
    <x v="1"/>
  </r>
  <r>
    <s v="TX500343"/>
    <x v="2"/>
    <x v="1"/>
    <n v="106.9"/>
    <n v="213.8"/>
    <x v="14"/>
    <d v="2025-01-17T00:00:00"/>
    <x v="2"/>
    <x v="0"/>
    <x v="2"/>
    <x v="0"/>
    <x v="41"/>
    <x v="1"/>
    <x v="2"/>
    <x v="2"/>
  </r>
  <r>
    <s v="TX500344"/>
    <x v="3"/>
    <x v="9"/>
    <n v="45.2"/>
    <n v="226"/>
    <x v="14"/>
    <d v="2025-01-19T00:00:00"/>
    <x v="2"/>
    <x v="1"/>
    <x v="0"/>
    <x v="0"/>
    <x v="21"/>
    <x v="5"/>
    <x v="2"/>
    <x v="2"/>
  </r>
  <r>
    <s v="TX500345"/>
    <x v="8"/>
    <x v="15"/>
    <n v="34.6"/>
    <n v="449.8"/>
    <x v="14"/>
    <d v="2025-01-15T00:00:00"/>
    <x v="2"/>
    <x v="1"/>
    <x v="1"/>
    <x v="0"/>
    <x v="21"/>
    <x v="7"/>
    <x v="2"/>
    <x v="2"/>
  </r>
  <r>
    <s v="TX500346"/>
    <x v="15"/>
    <x v="0"/>
    <n v="43.8"/>
    <n v="43.8"/>
    <x v="14"/>
    <d v="2025-01-17T00:00:00"/>
    <x v="0"/>
    <x v="0"/>
    <x v="2"/>
    <x v="0"/>
    <x v="21"/>
    <x v="1"/>
    <x v="2"/>
    <x v="0"/>
  </r>
  <r>
    <s v="TX500347"/>
    <x v="15"/>
    <x v="0"/>
    <n v="20.399999999999999"/>
    <n v="20.399999999999999"/>
    <x v="14"/>
    <d v="2025-01-17T00:00:00"/>
    <x v="1"/>
    <x v="4"/>
    <x v="1"/>
    <x v="0"/>
    <x v="21"/>
    <x v="1"/>
    <x v="2"/>
    <x v="1"/>
  </r>
  <r>
    <s v="TX500348"/>
    <x v="1"/>
    <x v="0"/>
    <n v="36.700000000000003"/>
    <n v="36.700000000000003"/>
    <x v="14"/>
    <d v="2025-01-16T00:00:00"/>
    <x v="1"/>
    <x v="0"/>
    <x v="1"/>
    <x v="0"/>
    <x v="1"/>
    <x v="3"/>
    <x v="2"/>
    <x v="1"/>
  </r>
  <r>
    <s v="TX500349"/>
    <x v="8"/>
    <x v="2"/>
    <n v="27.2"/>
    <n v="81.599999999999994"/>
    <x v="14"/>
    <d v="2025-01-19T00:00:00"/>
    <x v="1"/>
    <x v="0"/>
    <x v="2"/>
    <x v="0"/>
    <x v="1"/>
    <x v="5"/>
    <x v="2"/>
    <x v="1"/>
  </r>
  <r>
    <s v="TX500350"/>
    <x v="6"/>
    <x v="0"/>
    <n v="58.2"/>
    <n v="58.2"/>
    <x v="14"/>
    <d v="2025-01-16T00:00:00"/>
    <x v="2"/>
    <x v="0"/>
    <x v="2"/>
    <x v="0"/>
    <x v="42"/>
    <x v="3"/>
    <x v="2"/>
    <x v="2"/>
  </r>
  <r>
    <s v="TX500351"/>
    <x v="8"/>
    <x v="2"/>
    <n v="25.6"/>
    <n v="76.800000000000011"/>
    <x v="14"/>
    <d v="2025-01-16T00:00:00"/>
    <x v="1"/>
    <x v="4"/>
    <x v="4"/>
    <x v="0"/>
    <x v="2"/>
    <x v="3"/>
    <x v="2"/>
    <x v="1"/>
  </r>
  <r>
    <s v="TX500352"/>
    <x v="10"/>
    <x v="0"/>
    <n v="21.2"/>
    <n v="21.2"/>
    <x v="14"/>
    <d v="2025-01-15T00:00:00"/>
    <x v="2"/>
    <x v="1"/>
    <x v="2"/>
    <x v="0"/>
    <x v="3"/>
    <x v="7"/>
    <x v="2"/>
    <x v="2"/>
  </r>
  <r>
    <s v="TX500353"/>
    <x v="6"/>
    <x v="1"/>
    <n v="48.2"/>
    <n v="96.4"/>
    <x v="14"/>
    <d v="2025-01-23T00:00:00"/>
    <x v="2"/>
    <x v="0"/>
    <x v="2"/>
    <x v="0"/>
    <x v="3"/>
    <x v="9"/>
    <x v="2"/>
    <x v="2"/>
  </r>
  <r>
    <s v="TX500354"/>
    <x v="1"/>
    <x v="12"/>
    <n v="83.4"/>
    <n v="333.6"/>
    <x v="15"/>
    <d v="2025-01-17T00:00:00"/>
    <x v="1"/>
    <x v="0"/>
    <x v="0"/>
    <x v="0"/>
    <x v="3"/>
    <x v="3"/>
    <x v="2"/>
    <x v="1"/>
  </r>
  <r>
    <s v="TX500355"/>
    <x v="9"/>
    <x v="2"/>
    <n v="45.3"/>
    <n v="135.89999999999998"/>
    <x v="15"/>
    <d v="2025-01-22T00:00:00"/>
    <x v="1"/>
    <x v="2"/>
    <x v="1"/>
    <x v="0"/>
    <x v="3"/>
    <x v="4"/>
    <x v="2"/>
    <x v="1"/>
  </r>
  <r>
    <s v="TX500356"/>
    <x v="17"/>
    <x v="0"/>
    <n v="42"/>
    <n v="42"/>
    <x v="15"/>
    <d v="2025-01-17T00:00:00"/>
    <x v="0"/>
    <x v="0"/>
    <x v="0"/>
    <x v="0"/>
    <x v="3"/>
    <x v="3"/>
    <x v="2"/>
    <x v="0"/>
  </r>
  <r>
    <s v="TX500357"/>
    <x v="0"/>
    <x v="11"/>
    <n v="21.8"/>
    <n v="196.20000000000002"/>
    <x v="15"/>
    <d v="2025-01-18T00:00:00"/>
    <x v="2"/>
    <x v="1"/>
    <x v="0"/>
    <x v="0"/>
    <x v="3"/>
    <x v="1"/>
    <x v="2"/>
    <x v="2"/>
  </r>
  <r>
    <s v="TX500358"/>
    <x v="8"/>
    <x v="16"/>
    <n v="21.4"/>
    <n v="385.2"/>
    <x v="15"/>
    <d v="2025-01-19T00:00:00"/>
    <x v="2"/>
    <x v="1"/>
    <x v="2"/>
    <x v="0"/>
    <x v="3"/>
    <x v="2"/>
    <x v="2"/>
    <x v="2"/>
  </r>
  <r>
    <s v="TX500359"/>
    <x v="10"/>
    <x v="2"/>
    <n v="45"/>
    <n v="135"/>
    <x v="15"/>
    <d v="2025-01-16T00:00:00"/>
    <x v="2"/>
    <x v="1"/>
    <x v="2"/>
    <x v="0"/>
    <x v="3"/>
    <x v="7"/>
    <x v="2"/>
    <x v="2"/>
  </r>
  <r>
    <s v="TX500360"/>
    <x v="14"/>
    <x v="0"/>
    <n v="39.6"/>
    <n v="39.6"/>
    <x v="15"/>
    <d v="2025-01-17T00:00:00"/>
    <x v="1"/>
    <x v="0"/>
    <x v="2"/>
    <x v="0"/>
    <x v="3"/>
    <x v="3"/>
    <x v="2"/>
    <x v="1"/>
  </r>
  <r>
    <s v="TX500361"/>
    <x v="12"/>
    <x v="2"/>
    <n v="79.8"/>
    <n v="239.39999999999998"/>
    <x v="15"/>
    <d v="2025-01-22T00:00:00"/>
    <x v="2"/>
    <x v="1"/>
    <x v="4"/>
    <x v="0"/>
    <x v="3"/>
    <x v="4"/>
    <x v="2"/>
    <x v="2"/>
  </r>
  <r>
    <s v="TX500362"/>
    <x v="1"/>
    <x v="12"/>
    <n v="63.6"/>
    <n v="254.4"/>
    <x v="15"/>
    <d v="2025-01-17T00:00:00"/>
    <x v="3"/>
    <x v="0"/>
    <x v="2"/>
    <x v="0"/>
    <x v="24"/>
    <x v="3"/>
    <x v="2"/>
    <x v="3"/>
  </r>
  <r>
    <s v="TX500363"/>
    <x v="7"/>
    <x v="7"/>
    <n v="92.7"/>
    <n v="927"/>
    <x v="15"/>
    <d v="2025-01-20T00:00:00"/>
    <x v="1"/>
    <x v="1"/>
    <x v="2"/>
    <x v="0"/>
    <x v="6"/>
    <x v="5"/>
    <x v="2"/>
    <x v="1"/>
  </r>
  <r>
    <s v="TX500364"/>
    <x v="1"/>
    <x v="12"/>
    <n v="48.4"/>
    <n v="193.6"/>
    <x v="15"/>
    <d v="2025-01-18T00:00:00"/>
    <x v="2"/>
    <x v="1"/>
    <x v="2"/>
    <x v="0"/>
    <x v="6"/>
    <x v="1"/>
    <x v="2"/>
    <x v="2"/>
  </r>
  <r>
    <s v="TX500365"/>
    <x v="9"/>
    <x v="8"/>
    <n v="36"/>
    <n v="288"/>
    <x v="15"/>
    <d v="2025-01-19T00:00:00"/>
    <x v="1"/>
    <x v="2"/>
    <x v="2"/>
    <x v="0"/>
    <x v="8"/>
    <x v="2"/>
    <x v="2"/>
    <x v="1"/>
  </r>
  <r>
    <s v="TX500366"/>
    <x v="8"/>
    <x v="4"/>
    <n v="27"/>
    <n v="324"/>
    <x v="15"/>
    <d v="2025-01-18T00:00:00"/>
    <x v="2"/>
    <x v="2"/>
    <x v="1"/>
    <x v="0"/>
    <x v="8"/>
    <x v="1"/>
    <x v="2"/>
    <x v="2"/>
  </r>
  <r>
    <s v="TX500367"/>
    <x v="2"/>
    <x v="8"/>
    <n v="53.9"/>
    <n v="431.2"/>
    <x v="15"/>
    <d v="2025-01-17T00:00:00"/>
    <x v="0"/>
    <x v="0"/>
    <x v="0"/>
    <x v="0"/>
    <x v="8"/>
    <x v="3"/>
    <x v="2"/>
    <x v="0"/>
  </r>
  <r>
    <s v="TX500368"/>
    <x v="3"/>
    <x v="11"/>
    <n v="48.4"/>
    <n v="435.59999999999997"/>
    <x v="15"/>
    <d v="2025-01-17T00:00:00"/>
    <x v="2"/>
    <x v="1"/>
    <x v="0"/>
    <x v="0"/>
    <x v="9"/>
    <x v="3"/>
    <x v="2"/>
    <x v="2"/>
  </r>
  <r>
    <s v="TX500369"/>
    <x v="17"/>
    <x v="1"/>
    <n v="49.9"/>
    <n v="99.8"/>
    <x v="15"/>
    <d v="2025-01-21T00:00:00"/>
    <x v="1"/>
    <x v="4"/>
    <x v="4"/>
    <x v="0"/>
    <x v="10"/>
    <x v="0"/>
    <x v="2"/>
    <x v="1"/>
  </r>
  <r>
    <s v="TX500370"/>
    <x v="1"/>
    <x v="2"/>
    <n v="51.7"/>
    <n v="155.10000000000002"/>
    <x v="15"/>
    <d v="2025-01-17T00:00:00"/>
    <x v="2"/>
    <x v="0"/>
    <x v="2"/>
    <x v="0"/>
    <x v="11"/>
    <x v="3"/>
    <x v="2"/>
    <x v="2"/>
  </r>
  <r>
    <s v="TX500371"/>
    <x v="8"/>
    <x v="2"/>
    <n v="41.8"/>
    <n v="125.39999999999999"/>
    <x v="15"/>
    <d v="2025-01-18T00:00:00"/>
    <x v="2"/>
    <x v="2"/>
    <x v="0"/>
    <x v="0"/>
    <x v="18"/>
    <x v="1"/>
    <x v="2"/>
    <x v="2"/>
  </r>
  <r>
    <s v="TX500372"/>
    <x v="4"/>
    <x v="12"/>
    <n v="36.200000000000003"/>
    <n v="144.80000000000001"/>
    <x v="16"/>
    <d v="2025-01-18T00:00:00"/>
    <x v="1"/>
    <x v="2"/>
    <x v="2"/>
    <x v="0"/>
    <x v="21"/>
    <x v="3"/>
    <x v="2"/>
    <x v="1"/>
  </r>
  <r>
    <s v="TX500373"/>
    <x v="2"/>
    <x v="0"/>
    <n v="150.9"/>
    <n v="150.9"/>
    <x v="16"/>
    <d v="2025-01-27T00:00:00"/>
    <x v="1"/>
    <x v="0"/>
    <x v="0"/>
    <x v="0"/>
    <x v="1"/>
    <x v="14"/>
    <x v="2"/>
    <x v="1"/>
  </r>
  <r>
    <s v="TX500374"/>
    <x v="18"/>
    <x v="12"/>
    <n v="77.599999999999994"/>
    <n v="310.39999999999998"/>
    <x v="16"/>
    <d v="2025-01-18T00:00:00"/>
    <x v="0"/>
    <x v="2"/>
    <x v="0"/>
    <x v="0"/>
    <x v="3"/>
    <x v="3"/>
    <x v="2"/>
    <x v="0"/>
  </r>
  <r>
    <s v="TX500375"/>
    <x v="13"/>
    <x v="9"/>
    <n v="65.5"/>
    <n v="327.5"/>
    <x v="16"/>
    <d v="2025-01-17T00:00:00"/>
    <x v="1"/>
    <x v="1"/>
    <x v="0"/>
    <x v="0"/>
    <x v="3"/>
    <x v="7"/>
    <x v="2"/>
    <x v="1"/>
  </r>
  <r>
    <s v="TX500376"/>
    <x v="6"/>
    <x v="2"/>
    <n v="90.1"/>
    <n v="270.29999999999995"/>
    <x v="16"/>
    <d v="2025-01-19T00:00:00"/>
    <x v="2"/>
    <x v="0"/>
    <x v="0"/>
    <x v="0"/>
    <x v="3"/>
    <x v="1"/>
    <x v="2"/>
    <x v="2"/>
  </r>
  <r>
    <s v="TX500377"/>
    <x v="1"/>
    <x v="1"/>
    <n v="108.3"/>
    <n v="216.6"/>
    <x v="16"/>
    <d v="2025-01-20T00:00:00"/>
    <x v="3"/>
    <x v="4"/>
    <x v="0"/>
    <x v="0"/>
    <x v="3"/>
    <x v="2"/>
    <x v="2"/>
    <x v="3"/>
  </r>
  <r>
    <s v="TX500378"/>
    <x v="5"/>
    <x v="2"/>
    <n v="59.9"/>
    <n v="179.7"/>
    <x v="16"/>
    <d v="2025-01-21T00:00:00"/>
    <x v="2"/>
    <x v="0"/>
    <x v="0"/>
    <x v="0"/>
    <x v="3"/>
    <x v="5"/>
    <x v="2"/>
    <x v="2"/>
  </r>
  <r>
    <s v="TX500379"/>
    <x v="2"/>
    <x v="14"/>
    <n v="139"/>
    <n v="2363"/>
    <x v="16"/>
    <d v="2025-01-19T00:00:00"/>
    <x v="2"/>
    <x v="1"/>
    <x v="4"/>
    <x v="0"/>
    <x v="3"/>
    <x v="1"/>
    <x v="2"/>
    <x v="2"/>
  </r>
  <r>
    <s v="TX500380"/>
    <x v="6"/>
    <x v="2"/>
    <n v="87.3"/>
    <n v="261.89999999999998"/>
    <x v="16"/>
    <d v="2025-01-18T00:00:00"/>
    <x v="2"/>
    <x v="0"/>
    <x v="0"/>
    <x v="0"/>
    <x v="3"/>
    <x v="3"/>
    <x v="2"/>
    <x v="2"/>
  </r>
  <r>
    <s v="TX500381"/>
    <x v="11"/>
    <x v="12"/>
    <n v="42.3"/>
    <n v="169.2"/>
    <x v="16"/>
    <d v="2025-01-17T00:00:00"/>
    <x v="1"/>
    <x v="0"/>
    <x v="0"/>
    <x v="0"/>
    <x v="3"/>
    <x v="7"/>
    <x v="2"/>
    <x v="1"/>
  </r>
  <r>
    <s v="TX500382"/>
    <x v="14"/>
    <x v="8"/>
    <n v="103.6"/>
    <n v="828.8"/>
    <x v="16"/>
    <d v="2025-01-18T00:00:00"/>
    <x v="3"/>
    <x v="0"/>
    <x v="1"/>
    <x v="0"/>
    <x v="3"/>
    <x v="3"/>
    <x v="2"/>
    <x v="3"/>
  </r>
  <r>
    <s v="TX500383"/>
    <x v="6"/>
    <x v="1"/>
    <n v="90.9"/>
    <n v="181.8"/>
    <x v="16"/>
    <d v="2025-01-18T00:00:00"/>
    <x v="1"/>
    <x v="1"/>
    <x v="0"/>
    <x v="0"/>
    <x v="6"/>
    <x v="3"/>
    <x v="2"/>
    <x v="1"/>
  </r>
  <r>
    <s v="TX500384"/>
    <x v="9"/>
    <x v="27"/>
    <n v="100.9"/>
    <n v="1614.4"/>
    <x v="16"/>
    <d v="2025-01-18T00:00:00"/>
    <x v="2"/>
    <x v="1"/>
    <x v="0"/>
    <x v="0"/>
    <x v="6"/>
    <x v="3"/>
    <x v="2"/>
    <x v="2"/>
  </r>
  <r>
    <s v="TX500385"/>
    <x v="4"/>
    <x v="9"/>
    <n v="36"/>
    <n v="180"/>
    <x v="16"/>
    <d v="2025-01-19T00:00:00"/>
    <x v="2"/>
    <x v="1"/>
    <x v="0"/>
    <x v="0"/>
    <x v="7"/>
    <x v="1"/>
    <x v="2"/>
    <x v="2"/>
  </r>
  <r>
    <s v="TX500386"/>
    <x v="6"/>
    <x v="13"/>
    <n v="83.3"/>
    <n v="499.79999999999995"/>
    <x v="16"/>
    <d v="2025-01-20T00:00:00"/>
    <x v="0"/>
    <x v="2"/>
    <x v="0"/>
    <x v="0"/>
    <x v="7"/>
    <x v="2"/>
    <x v="2"/>
    <x v="0"/>
  </r>
  <r>
    <s v="TX500387"/>
    <x v="2"/>
    <x v="14"/>
    <n v="60.3"/>
    <n v="1025.0999999999999"/>
    <x v="16"/>
    <d v="2025-01-18T00:00:00"/>
    <x v="1"/>
    <x v="2"/>
    <x v="1"/>
    <x v="0"/>
    <x v="7"/>
    <x v="3"/>
    <x v="2"/>
    <x v="1"/>
  </r>
  <r>
    <s v="TX500388"/>
    <x v="2"/>
    <x v="13"/>
    <n v="120.3"/>
    <n v="721.8"/>
    <x v="16"/>
    <d v="2025-01-18T00:00:00"/>
    <x v="1"/>
    <x v="2"/>
    <x v="0"/>
    <x v="0"/>
    <x v="8"/>
    <x v="3"/>
    <x v="2"/>
    <x v="1"/>
  </r>
  <r>
    <s v="TX500389"/>
    <x v="4"/>
    <x v="7"/>
    <n v="34"/>
    <n v="340"/>
    <x v="16"/>
    <d v="2025-01-21T00:00:00"/>
    <x v="2"/>
    <x v="2"/>
    <x v="0"/>
    <x v="0"/>
    <x v="8"/>
    <x v="5"/>
    <x v="2"/>
    <x v="2"/>
  </r>
  <r>
    <s v="TX500390"/>
    <x v="10"/>
    <x v="9"/>
    <n v="42.6"/>
    <n v="213"/>
    <x v="16"/>
    <d v="2025-01-20T00:00:00"/>
    <x v="1"/>
    <x v="1"/>
    <x v="0"/>
    <x v="0"/>
    <x v="8"/>
    <x v="2"/>
    <x v="2"/>
    <x v="1"/>
  </r>
  <r>
    <s v="TX500391"/>
    <x v="5"/>
    <x v="28"/>
    <n v="47.4"/>
    <n v="948"/>
    <x v="16"/>
    <d v="2025-01-17T00:00:00"/>
    <x v="2"/>
    <x v="2"/>
    <x v="1"/>
    <x v="0"/>
    <x v="17"/>
    <x v="7"/>
    <x v="2"/>
    <x v="2"/>
  </r>
  <r>
    <s v="TX500392"/>
    <x v="2"/>
    <x v="0"/>
    <n v="74"/>
    <n v="74"/>
    <x v="17"/>
    <d v="2025-01-19T00:00:00"/>
    <x v="1"/>
    <x v="1"/>
    <x v="0"/>
    <x v="0"/>
    <x v="11"/>
    <x v="3"/>
    <x v="2"/>
    <x v="1"/>
  </r>
  <r>
    <s v="TX500393"/>
    <x v="2"/>
    <x v="9"/>
    <n v="60.4"/>
    <n v="302"/>
    <x v="17"/>
    <d v="2025-01-21T00:00:00"/>
    <x v="2"/>
    <x v="1"/>
    <x v="4"/>
    <x v="0"/>
    <x v="18"/>
    <x v="2"/>
    <x v="2"/>
    <x v="2"/>
  </r>
  <r>
    <s v="TX500394"/>
    <x v="12"/>
    <x v="1"/>
    <n v="69.3"/>
    <n v="138.6"/>
    <x v="17"/>
    <d v="2025-01-21T00:00:00"/>
    <x v="1"/>
    <x v="1"/>
    <x v="1"/>
    <x v="0"/>
    <x v="13"/>
    <x v="2"/>
    <x v="2"/>
    <x v="1"/>
  </r>
  <r>
    <s v="TX500395"/>
    <x v="5"/>
    <x v="9"/>
    <n v="81"/>
    <n v="405"/>
    <x v="17"/>
    <d v="2025-01-24T00:00:00"/>
    <x v="1"/>
    <x v="3"/>
    <x v="0"/>
    <x v="0"/>
    <x v="21"/>
    <x v="4"/>
    <x v="2"/>
    <x v="1"/>
  </r>
  <r>
    <s v="TX500396"/>
    <x v="15"/>
    <x v="2"/>
    <n v="41.5"/>
    <n v="124.5"/>
    <x v="17"/>
    <d v="2025-01-20T00:00:00"/>
    <x v="3"/>
    <x v="1"/>
    <x v="0"/>
    <x v="0"/>
    <x v="21"/>
    <x v="1"/>
    <x v="2"/>
    <x v="3"/>
  </r>
  <r>
    <s v="TX500397"/>
    <x v="18"/>
    <x v="1"/>
    <n v="69.7"/>
    <n v="139.4"/>
    <x v="17"/>
    <d v="2025-01-23T00:00:00"/>
    <x v="1"/>
    <x v="1"/>
    <x v="0"/>
    <x v="0"/>
    <x v="21"/>
    <x v="0"/>
    <x v="2"/>
    <x v="1"/>
  </r>
  <r>
    <s v="TX500398"/>
    <x v="2"/>
    <x v="9"/>
    <n v="83.6"/>
    <n v="418"/>
    <x v="17"/>
    <d v="2025-01-18T00:00:00"/>
    <x v="2"/>
    <x v="4"/>
    <x v="0"/>
    <x v="0"/>
    <x v="1"/>
    <x v="7"/>
    <x v="2"/>
    <x v="2"/>
  </r>
  <r>
    <s v="TX500399"/>
    <x v="8"/>
    <x v="3"/>
    <n v="21.5"/>
    <n v="150.5"/>
    <x v="17"/>
    <d v="2025-01-20T00:00:00"/>
    <x v="1"/>
    <x v="1"/>
    <x v="4"/>
    <x v="0"/>
    <x v="34"/>
    <x v="1"/>
    <x v="2"/>
    <x v="1"/>
  </r>
  <r>
    <s v="TX500400"/>
    <x v="8"/>
    <x v="8"/>
    <n v="28.6"/>
    <n v="228.8"/>
    <x v="17"/>
    <d v="2025-01-19T00:00:00"/>
    <x v="1"/>
    <x v="0"/>
    <x v="0"/>
    <x v="0"/>
    <x v="3"/>
    <x v="3"/>
    <x v="2"/>
    <x v="1"/>
  </r>
  <r>
    <s v="TX500401"/>
    <x v="8"/>
    <x v="13"/>
    <n v="18.8"/>
    <n v="112.80000000000001"/>
    <x v="17"/>
    <d v="2025-01-21T00:00:00"/>
    <x v="1"/>
    <x v="3"/>
    <x v="2"/>
    <x v="0"/>
    <x v="3"/>
    <x v="2"/>
    <x v="2"/>
    <x v="1"/>
  </r>
  <r>
    <s v="TX500402"/>
    <x v="10"/>
    <x v="12"/>
    <n v="35.1"/>
    <n v="140.4"/>
    <x v="17"/>
    <d v="2025-01-18T00:00:00"/>
    <x v="2"/>
    <x v="1"/>
    <x v="1"/>
    <x v="0"/>
    <x v="3"/>
    <x v="7"/>
    <x v="2"/>
    <x v="2"/>
  </r>
  <r>
    <s v="TX500403"/>
    <x v="0"/>
    <x v="1"/>
    <n v="12.7"/>
    <n v="25.4"/>
    <x v="17"/>
    <d v="2025-01-20T00:00:00"/>
    <x v="2"/>
    <x v="1"/>
    <x v="2"/>
    <x v="0"/>
    <x v="3"/>
    <x v="1"/>
    <x v="2"/>
    <x v="2"/>
  </r>
  <r>
    <s v="TX500404"/>
    <x v="8"/>
    <x v="9"/>
    <n v="27.4"/>
    <n v="137"/>
    <x v="17"/>
    <d v="2025-01-20T00:00:00"/>
    <x v="3"/>
    <x v="0"/>
    <x v="0"/>
    <x v="0"/>
    <x v="3"/>
    <x v="1"/>
    <x v="2"/>
    <x v="3"/>
  </r>
  <r>
    <s v="TX500405"/>
    <x v="10"/>
    <x v="1"/>
    <n v="61.3"/>
    <n v="122.6"/>
    <x v="17"/>
    <d v="2025-01-19T00:00:00"/>
    <x v="2"/>
    <x v="1"/>
    <x v="0"/>
    <x v="0"/>
    <x v="6"/>
    <x v="3"/>
    <x v="2"/>
    <x v="2"/>
  </r>
  <r>
    <s v="TX500406"/>
    <x v="8"/>
    <x v="1"/>
    <n v="64.7"/>
    <n v="129.4"/>
    <x v="17"/>
    <d v="2025-01-20T00:00:00"/>
    <x v="2"/>
    <x v="3"/>
    <x v="2"/>
    <x v="0"/>
    <x v="6"/>
    <x v="1"/>
    <x v="2"/>
    <x v="2"/>
  </r>
  <r>
    <s v="TX500407"/>
    <x v="7"/>
    <x v="12"/>
    <n v="91.4"/>
    <n v="365.6"/>
    <x v="17"/>
    <d v="2025-01-20T00:00:00"/>
    <x v="2"/>
    <x v="0"/>
    <x v="0"/>
    <x v="0"/>
    <x v="8"/>
    <x v="1"/>
    <x v="2"/>
    <x v="2"/>
  </r>
  <r>
    <s v="TX500408"/>
    <x v="0"/>
    <x v="1"/>
    <n v="33.1"/>
    <n v="66.2"/>
    <x v="18"/>
    <d v="2025-01-20T00:00:00"/>
    <x v="1"/>
    <x v="0"/>
    <x v="2"/>
    <x v="0"/>
    <x v="8"/>
    <x v="3"/>
    <x v="3"/>
    <x v="1"/>
  </r>
  <r>
    <s v="TX500409"/>
    <x v="3"/>
    <x v="1"/>
    <n v="105.6"/>
    <n v="211.2"/>
    <x v="18"/>
    <d v="2025-01-20T00:00:00"/>
    <x v="1"/>
    <x v="2"/>
    <x v="1"/>
    <x v="0"/>
    <x v="8"/>
    <x v="3"/>
    <x v="3"/>
    <x v="1"/>
  </r>
  <r>
    <s v="TX500410"/>
    <x v="10"/>
    <x v="2"/>
    <n v="46.4"/>
    <n v="139.19999999999999"/>
    <x v="18"/>
    <d v="2025-01-20T00:00:00"/>
    <x v="1"/>
    <x v="2"/>
    <x v="0"/>
    <x v="0"/>
    <x v="9"/>
    <x v="3"/>
    <x v="3"/>
    <x v="1"/>
  </r>
  <r>
    <s v="TX500411"/>
    <x v="9"/>
    <x v="21"/>
    <n v="35.299999999999997"/>
    <n v="494.19999999999993"/>
    <x v="18"/>
    <d v="2025-01-22T00:00:00"/>
    <x v="2"/>
    <x v="4"/>
    <x v="1"/>
    <x v="0"/>
    <x v="11"/>
    <x v="2"/>
    <x v="3"/>
    <x v="2"/>
  </r>
  <r>
    <s v="TX500412"/>
    <x v="0"/>
    <x v="1"/>
    <n v="16.100000000000001"/>
    <n v="32.200000000000003"/>
    <x v="18"/>
    <d v="2025-01-21T00:00:00"/>
    <x v="1"/>
    <x v="3"/>
    <x v="2"/>
    <x v="0"/>
    <x v="32"/>
    <x v="1"/>
    <x v="3"/>
    <x v="1"/>
  </r>
  <r>
    <s v="TX500413"/>
    <x v="4"/>
    <x v="1"/>
    <n v="27.9"/>
    <n v="55.8"/>
    <x v="18"/>
    <d v="2025-01-22T00:00:00"/>
    <x v="1"/>
    <x v="0"/>
    <x v="0"/>
    <x v="0"/>
    <x v="13"/>
    <x v="2"/>
    <x v="3"/>
    <x v="1"/>
  </r>
  <r>
    <s v="TX500414"/>
    <x v="8"/>
    <x v="0"/>
    <n v="47.1"/>
    <n v="47.1"/>
    <x v="18"/>
    <d v="2025-01-27T00:00:00"/>
    <x v="2"/>
    <x v="1"/>
    <x v="0"/>
    <x v="0"/>
    <x v="2"/>
    <x v="9"/>
    <x v="3"/>
    <x v="2"/>
  </r>
  <r>
    <s v="TX500415"/>
    <x v="6"/>
    <x v="1"/>
    <n v="85"/>
    <n v="170"/>
    <x v="18"/>
    <d v="2025-01-22T00:00:00"/>
    <x v="0"/>
    <x v="2"/>
    <x v="2"/>
    <x v="0"/>
    <x v="22"/>
    <x v="2"/>
    <x v="3"/>
    <x v="0"/>
  </r>
  <r>
    <s v="TX500416"/>
    <x v="18"/>
    <x v="1"/>
    <n v="89"/>
    <n v="178"/>
    <x v="18"/>
    <d v="2025-01-21T00:00:00"/>
    <x v="2"/>
    <x v="0"/>
    <x v="0"/>
    <x v="0"/>
    <x v="3"/>
    <x v="1"/>
    <x v="3"/>
    <x v="2"/>
  </r>
  <r>
    <s v="TX500417"/>
    <x v="16"/>
    <x v="2"/>
    <n v="36.6"/>
    <n v="109.80000000000001"/>
    <x v="18"/>
    <d v="2025-01-20T00:00:00"/>
    <x v="3"/>
    <x v="3"/>
    <x v="2"/>
    <x v="0"/>
    <x v="3"/>
    <x v="3"/>
    <x v="3"/>
    <x v="3"/>
  </r>
  <r>
    <s v="TX500418"/>
    <x v="6"/>
    <x v="3"/>
    <n v="43.5"/>
    <n v="304.5"/>
    <x v="18"/>
    <d v="2025-01-20T00:00:00"/>
    <x v="1"/>
    <x v="1"/>
    <x v="2"/>
    <x v="0"/>
    <x v="3"/>
    <x v="3"/>
    <x v="3"/>
    <x v="1"/>
  </r>
  <r>
    <s v="TX500419"/>
    <x v="9"/>
    <x v="10"/>
    <n v="30.5"/>
    <n v="579.5"/>
    <x v="18"/>
    <d v="2025-01-19T00:00:00"/>
    <x v="2"/>
    <x v="3"/>
    <x v="0"/>
    <x v="0"/>
    <x v="3"/>
    <x v="7"/>
    <x v="3"/>
    <x v="2"/>
  </r>
  <r>
    <s v="TX500420"/>
    <x v="1"/>
    <x v="1"/>
    <n v="107.7"/>
    <n v="215.4"/>
    <x v="18"/>
    <d v="2025-01-23T00:00:00"/>
    <x v="1"/>
    <x v="3"/>
    <x v="4"/>
    <x v="0"/>
    <x v="3"/>
    <x v="5"/>
    <x v="3"/>
    <x v="1"/>
  </r>
  <r>
    <s v="TX500421"/>
    <x v="17"/>
    <x v="18"/>
    <n v="57.1"/>
    <n v="1484.6000000000001"/>
    <x v="18"/>
    <d v="2025-01-20T00:00:00"/>
    <x v="1"/>
    <x v="1"/>
    <x v="0"/>
    <x v="0"/>
    <x v="3"/>
    <x v="3"/>
    <x v="3"/>
    <x v="1"/>
  </r>
  <r>
    <s v="TX500422"/>
    <x v="2"/>
    <x v="7"/>
    <n v="111.7"/>
    <n v="1117"/>
    <x v="18"/>
    <d v="2025-01-20T00:00:00"/>
    <x v="2"/>
    <x v="4"/>
    <x v="2"/>
    <x v="0"/>
    <x v="3"/>
    <x v="3"/>
    <x v="3"/>
    <x v="2"/>
  </r>
  <r>
    <s v="TX500423"/>
    <x v="18"/>
    <x v="3"/>
    <n v="44.3"/>
    <n v="310.09999999999997"/>
    <x v="18"/>
    <d v="2025-01-22T00:00:00"/>
    <x v="1"/>
    <x v="3"/>
    <x v="2"/>
    <x v="0"/>
    <x v="3"/>
    <x v="2"/>
    <x v="3"/>
    <x v="1"/>
  </r>
  <r>
    <s v="TX500424"/>
    <x v="2"/>
    <x v="8"/>
    <n v="95.8"/>
    <n v="766.4"/>
    <x v="18"/>
    <d v="2025-01-25T00:00:00"/>
    <x v="3"/>
    <x v="0"/>
    <x v="0"/>
    <x v="0"/>
    <x v="3"/>
    <x v="4"/>
    <x v="3"/>
    <x v="3"/>
  </r>
  <r>
    <s v="TX500425"/>
    <x v="10"/>
    <x v="3"/>
    <n v="22.6"/>
    <n v="158.20000000000002"/>
    <x v="18"/>
    <d v="2025-01-22T00:00:00"/>
    <x v="2"/>
    <x v="3"/>
    <x v="1"/>
    <x v="0"/>
    <x v="3"/>
    <x v="2"/>
    <x v="3"/>
    <x v="2"/>
  </r>
  <r>
    <s v="TX500426"/>
    <x v="8"/>
    <x v="8"/>
    <n v="25.6"/>
    <n v="204.8"/>
    <x v="18"/>
    <d v="2025-01-21T00:00:00"/>
    <x v="2"/>
    <x v="4"/>
    <x v="0"/>
    <x v="0"/>
    <x v="3"/>
    <x v="1"/>
    <x v="3"/>
    <x v="2"/>
  </r>
  <r>
    <s v="TX500427"/>
    <x v="6"/>
    <x v="27"/>
    <n v="54.3"/>
    <n v="868.8"/>
    <x v="18"/>
    <d v="2025-01-22T00:00:00"/>
    <x v="2"/>
    <x v="4"/>
    <x v="0"/>
    <x v="0"/>
    <x v="3"/>
    <x v="2"/>
    <x v="3"/>
    <x v="2"/>
  </r>
  <r>
    <s v="TX500428"/>
    <x v="18"/>
    <x v="15"/>
    <n v="51.3"/>
    <n v="666.9"/>
    <x v="18"/>
    <d v="2025-01-21T00:00:00"/>
    <x v="1"/>
    <x v="0"/>
    <x v="2"/>
    <x v="0"/>
    <x v="3"/>
    <x v="1"/>
    <x v="3"/>
    <x v="1"/>
  </r>
  <r>
    <s v="TX500429"/>
    <x v="0"/>
    <x v="8"/>
    <n v="25.6"/>
    <n v="204.8"/>
    <x v="18"/>
    <d v="2025-01-20T00:00:00"/>
    <x v="2"/>
    <x v="1"/>
    <x v="1"/>
    <x v="0"/>
    <x v="3"/>
    <x v="3"/>
    <x v="3"/>
    <x v="2"/>
  </r>
  <r>
    <s v="TX500430"/>
    <x v="0"/>
    <x v="1"/>
    <n v="15.6"/>
    <n v="31.2"/>
    <x v="18"/>
    <d v="2025-01-20T00:00:00"/>
    <x v="2"/>
    <x v="2"/>
    <x v="2"/>
    <x v="0"/>
    <x v="3"/>
    <x v="3"/>
    <x v="3"/>
    <x v="2"/>
  </r>
  <r>
    <s v="TX500431"/>
    <x v="8"/>
    <x v="2"/>
    <n v="30.3"/>
    <n v="90.9"/>
    <x v="18"/>
    <d v="2025-01-23T00:00:00"/>
    <x v="2"/>
    <x v="0"/>
    <x v="1"/>
    <x v="0"/>
    <x v="3"/>
    <x v="5"/>
    <x v="3"/>
    <x v="2"/>
  </r>
  <r>
    <s v="TX500432"/>
    <x v="12"/>
    <x v="1"/>
    <n v="30.3"/>
    <n v="60.6"/>
    <x v="18"/>
    <d v="2025-01-24T00:00:00"/>
    <x v="2"/>
    <x v="0"/>
    <x v="2"/>
    <x v="0"/>
    <x v="37"/>
    <x v="0"/>
    <x v="3"/>
    <x v="2"/>
  </r>
  <r>
    <s v="TX500433"/>
    <x v="10"/>
    <x v="2"/>
    <n v="53"/>
    <n v="159"/>
    <x v="18"/>
    <d v="2025-01-26T00:00:00"/>
    <x v="2"/>
    <x v="2"/>
    <x v="0"/>
    <x v="0"/>
    <x v="24"/>
    <x v="6"/>
    <x v="3"/>
    <x v="2"/>
  </r>
  <r>
    <s v="TX500434"/>
    <x v="5"/>
    <x v="16"/>
    <n v="59.9"/>
    <n v="1078.2"/>
    <x v="18"/>
    <d v="2025-01-22T00:00:00"/>
    <x v="1"/>
    <x v="2"/>
    <x v="4"/>
    <x v="0"/>
    <x v="25"/>
    <x v="2"/>
    <x v="3"/>
    <x v="1"/>
  </r>
  <r>
    <s v="TX500435"/>
    <x v="9"/>
    <x v="1"/>
    <n v="45.7"/>
    <n v="91.4"/>
    <x v="18"/>
    <d v="2025-01-20T00:00:00"/>
    <x v="2"/>
    <x v="1"/>
    <x v="2"/>
    <x v="0"/>
    <x v="6"/>
    <x v="3"/>
    <x v="3"/>
    <x v="2"/>
  </r>
  <r>
    <s v="TX500436"/>
    <x v="8"/>
    <x v="12"/>
    <n v="46.1"/>
    <n v="184.4"/>
    <x v="18"/>
    <d v="2025-01-20T00:00:00"/>
    <x v="1"/>
    <x v="0"/>
    <x v="0"/>
    <x v="0"/>
    <x v="6"/>
    <x v="3"/>
    <x v="3"/>
    <x v="1"/>
  </r>
  <r>
    <s v="TX500437"/>
    <x v="8"/>
    <x v="2"/>
    <n v="17.5"/>
    <n v="52.5"/>
    <x v="18"/>
    <d v="2025-01-20T00:00:00"/>
    <x v="2"/>
    <x v="0"/>
    <x v="2"/>
    <x v="0"/>
    <x v="8"/>
    <x v="3"/>
    <x v="3"/>
    <x v="2"/>
  </r>
  <r>
    <s v="TX500438"/>
    <x v="10"/>
    <x v="2"/>
    <n v="36.5"/>
    <n v="109.5"/>
    <x v="18"/>
    <d v="2025-01-30T00:00:00"/>
    <x v="1"/>
    <x v="2"/>
    <x v="0"/>
    <x v="0"/>
    <x v="8"/>
    <x v="11"/>
    <x v="3"/>
    <x v="1"/>
  </r>
  <r>
    <s v="TX500439"/>
    <x v="8"/>
    <x v="1"/>
    <n v="47.5"/>
    <n v="95"/>
    <x v="19"/>
    <d v="2025-01-22T00:00:00"/>
    <x v="2"/>
    <x v="1"/>
    <x v="0"/>
    <x v="0"/>
    <x v="8"/>
    <x v="1"/>
    <x v="3"/>
    <x v="2"/>
  </r>
  <r>
    <s v="TX500440"/>
    <x v="6"/>
    <x v="9"/>
    <n v="45.6"/>
    <n v="228"/>
    <x v="19"/>
    <d v="2025-01-22T00:00:00"/>
    <x v="2"/>
    <x v="0"/>
    <x v="2"/>
    <x v="0"/>
    <x v="8"/>
    <x v="1"/>
    <x v="3"/>
    <x v="2"/>
  </r>
  <r>
    <s v="TX500441"/>
    <x v="9"/>
    <x v="1"/>
    <n v="50.5"/>
    <n v="101"/>
    <x v="19"/>
    <d v="2025-01-22T00:00:00"/>
    <x v="1"/>
    <x v="0"/>
    <x v="1"/>
    <x v="0"/>
    <x v="17"/>
    <x v="1"/>
    <x v="3"/>
    <x v="1"/>
  </r>
  <r>
    <s v="TX500442"/>
    <x v="2"/>
    <x v="7"/>
    <n v="99.8"/>
    <n v="998"/>
    <x v="19"/>
    <d v="2025-01-23T00:00:00"/>
    <x v="2"/>
    <x v="2"/>
    <x v="1"/>
    <x v="0"/>
    <x v="17"/>
    <x v="2"/>
    <x v="3"/>
    <x v="2"/>
  </r>
  <r>
    <s v="TX500443"/>
    <x v="8"/>
    <x v="20"/>
    <n v="19.2"/>
    <n v="288"/>
    <x v="19"/>
    <d v="2025-01-22T00:00:00"/>
    <x v="3"/>
    <x v="4"/>
    <x v="1"/>
    <x v="0"/>
    <x v="26"/>
    <x v="1"/>
    <x v="3"/>
    <x v="3"/>
  </r>
  <r>
    <s v="TX500444"/>
    <x v="17"/>
    <x v="2"/>
    <n v="22.6"/>
    <n v="67.800000000000011"/>
    <x v="19"/>
    <d v="2025-01-21T00:00:00"/>
    <x v="1"/>
    <x v="1"/>
    <x v="0"/>
    <x v="0"/>
    <x v="11"/>
    <x v="3"/>
    <x v="3"/>
    <x v="1"/>
  </r>
  <r>
    <s v="TX500445"/>
    <x v="1"/>
    <x v="20"/>
    <n v="126.9"/>
    <n v="1903.5"/>
    <x v="19"/>
    <d v="2025-01-22T00:00:00"/>
    <x v="2"/>
    <x v="0"/>
    <x v="2"/>
    <x v="0"/>
    <x v="11"/>
    <x v="1"/>
    <x v="3"/>
    <x v="2"/>
  </r>
  <r>
    <s v="TX500446"/>
    <x v="2"/>
    <x v="1"/>
    <n v="100.3"/>
    <n v="200.6"/>
    <x v="19"/>
    <d v="2025-01-21T00:00:00"/>
    <x v="2"/>
    <x v="0"/>
    <x v="1"/>
    <x v="0"/>
    <x v="11"/>
    <x v="3"/>
    <x v="3"/>
    <x v="2"/>
  </r>
  <r>
    <s v="TX500447"/>
    <x v="4"/>
    <x v="16"/>
    <n v="24.6"/>
    <n v="442.8"/>
    <x v="19"/>
    <d v="2025-01-21T00:00:00"/>
    <x v="2"/>
    <x v="4"/>
    <x v="0"/>
    <x v="0"/>
    <x v="13"/>
    <x v="3"/>
    <x v="3"/>
    <x v="2"/>
  </r>
  <r>
    <s v="TX500448"/>
    <x v="6"/>
    <x v="1"/>
    <n v="47.3"/>
    <n v="94.6"/>
    <x v="19"/>
    <d v="2025-01-21T00:00:00"/>
    <x v="1"/>
    <x v="1"/>
    <x v="2"/>
    <x v="0"/>
    <x v="13"/>
    <x v="3"/>
    <x v="3"/>
    <x v="1"/>
  </r>
  <r>
    <s v="TX500449"/>
    <x v="6"/>
    <x v="3"/>
    <n v="40.799999999999997"/>
    <n v="285.59999999999997"/>
    <x v="19"/>
    <d v="2025-01-23T00:00:00"/>
    <x v="2"/>
    <x v="2"/>
    <x v="2"/>
    <x v="0"/>
    <x v="21"/>
    <x v="2"/>
    <x v="3"/>
    <x v="2"/>
  </r>
  <r>
    <s v="TX500450"/>
    <x v="8"/>
    <x v="8"/>
    <n v="49.2"/>
    <n v="393.6"/>
    <x v="19"/>
    <d v="2025-01-22T00:00:00"/>
    <x v="2"/>
    <x v="0"/>
    <x v="0"/>
    <x v="0"/>
    <x v="1"/>
    <x v="1"/>
    <x v="3"/>
    <x v="2"/>
  </r>
  <r>
    <s v="TX500451"/>
    <x v="8"/>
    <x v="0"/>
    <n v="28.5"/>
    <n v="28.5"/>
    <x v="19"/>
    <d v="2025-01-22T00:00:00"/>
    <x v="0"/>
    <x v="2"/>
    <x v="1"/>
    <x v="0"/>
    <x v="3"/>
    <x v="1"/>
    <x v="3"/>
    <x v="0"/>
  </r>
  <r>
    <s v="TX500452"/>
    <x v="18"/>
    <x v="1"/>
    <n v="36.799999999999997"/>
    <n v="73.599999999999994"/>
    <x v="19"/>
    <d v="2025-01-26T00:00:00"/>
    <x v="2"/>
    <x v="0"/>
    <x v="2"/>
    <x v="0"/>
    <x v="3"/>
    <x v="4"/>
    <x v="3"/>
    <x v="2"/>
  </r>
  <r>
    <s v="TX500453"/>
    <x v="7"/>
    <x v="2"/>
    <n v="33.5"/>
    <n v="100.5"/>
    <x v="19"/>
    <d v="2025-01-21T00:00:00"/>
    <x v="2"/>
    <x v="0"/>
    <x v="1"/>
    <x v="0"/>
    <x v="3"/>
    <x v="3"/>
    <x v="3"/>
    <x v="2"/>
  </r>
  <r>
    <s v="TX500454"/>
    <x v="6"/>
    <x v="13"/>
    <n v="62.5"/>
    <n v="375"/>
    <x v="19"/>
    <d v="2025-01-22T00:00:00"/>
    <x v="2"/>
    <x v="0"/>
    <x v="0"/>
    <x v="0"/>
    <x v="3"/>
    <x v="1"/>
    <x v="3"/>
    <x v="2"/>
  </r>
  <r>
    <s v="TX500455"/>
    <x v="8"/>
    <x v="29"/>
    <n v="47.9"/>
    <n v="1916"/>
    <x v="19"/>
    <d v="2025-01-21T00:00:00"/>
    <x v="2"/>
    <x v="3"/>
    <x v="0"/>
    <x v="0"/>
    <x v="3"/>
    <x v="3"/>
    <x v="3"/>
    <x v="2"/>
  </r>
  <r>
    <s v="TX500456"/>
    <x v="6"/>
    <x v="13"/>
    <n v="92.9"/>
    <n v="557.40000000000009"/>
    <x v="19"/>
    <d v="2025-01-31T00:00:00"/>
    <x v="2"/>
    <x v="0"/>
    <x v="4"/>
    <x v="0"/>
    <x v="3"/>
    <x v="11"/>
    <x v="3"/>
    <x v="2"/>
  </r>
  <r>
    <s v="TX500457"/>
    <x v="12"/>
    <x v="2"/>
    <n v="44.1"/>
    <n v="132.30000000000001"/>
    <x v="19"/>
    <d v="2025-01-20T00:00:00"/>
    <x v="2"/>
    <x v="1"/>
    <x v="1"/>
    <x v="0"/>
    <x v="43"/>
    <x v="7"/>
    <x v="3"/>
    <x v="2"/>
  </r>
  <r>
    <s v="TX500458"/>
    <x v="0"/>
    <x v="0"/>
    <n v="11.4"/>
    <n v="11.4"/>
    <x v="20"/>
    <d v="2025-01-23T00:00:00"/>
    <x v="2"/>
    <x v="2"/>
    <x v="0"/>
    <x v="0"/>
    <x v="5"/>
    <x v="1"/>
    <x v="3"/>
    <x v="2"/>
  </r>
  <r>
    <s v="TX500459"/>
    <x v="6"/>
    <x v="0"/>
    <n v="83.7"/>
    <n v="83.7"/>
    <x v="20"/>
    <d v="2025-01-23T00:00:00"/>
    <x v="2"/>
    <x v="0"/>
    <x v="2"/>
    <x v="0"/>
    <x v="6"/>
    <x v="1"/>
    <x v="3"/>
    <x v="2"/>
  </r>
  <r>
    <s v="TX500460"/>
    <x v="10"/>
    <x v="1"/>
    <n v="23.2"/>
    <n v="46.4"/>
    <x v="20"/>
    <d v="2025-01-22T00:00:00"/>
    <x v="1"/>
    <x v="2"/>
    <x v="0"/>
    <x v="0"/>
    <x v="8"/>
    <x v="3"/>
    <x v="3"/>
    <x v="1"/>
  </r>
  <r>
    <s v="TX500461"/>
    <x v="2"/>
    <x v="0"/>
    <n v="162.1"/>
    <n v="162.1"/>
    <x v="20"/>
    <d v="2025-01-24T00:00:00"/>
    <x v="2"/>
    <x v="0"/>
    <x v="2"/>
    <x v="0"/>
    <x v="9"/>
    <x v="2"/>
    <x v="3"/>
    <x v="2"/>
  </r>
  <r>
    <s v="TX500462"/>
    <x v="6"/>
    <x v="12"/>
    <n v="49.2"/>
    <n v="196.8"/>
    <x v="20"/>
    <d v="2025-01-25T00:00:00"/>
    <x v="1"/>
    <x v="1"/>
    <x v="0"/>
    <x v="0"/>
    <x v="9"/>
    <x v="5"/>
    <x v="3"/>
    <x v="1"/>
  </r>
  <r>
    <s v="TX500463"/>
    <x v="1"/>
    <x v="1"/>
    <n v="61"/>
    <n v="122"/>
    <x v="20"/>
    <d v="2025-01-22T00:00:00"/>
    <x v="1"/>
    <x v="3"/>
    <x v="0"/>
    <x v="0"/>
    <x v="10"/>
    <x v="3"/>
    <x v="3"/>
    <x v="1"/>
  </r>
  <r>
    <s v="TX500464"/>
    <x v="2"/>
    <x v="7"/>
    <n v="53.1"/>
    <n v="531"/>
    <x v="20"/>
    <d v="2025-01-23T00:00:00"/>
    <x v="1"/>
    <x v="0"/>
    <x v="0"/>
    <x v="0"/>
    <x v="11"/>
    <x v="1"/>
    <x v="3"/>
    <x v="1"/>
  </r>
  <r>
    <s v="TX500465"/>
    <x v="4"/>
    <x v="1"/>
    <n v="22.4"/>
    <n v="44.8"/>
    <x v="20"/>
    <d v="2025-01-23T00:00:00"/>
    <x v="0"/>
    <x v="1"/>
    <x v="2"/>
    <x v="0"/>
    <x v="13"/>
    <x v="1"/>
    <x v="3"/>
    <x v="0"/>
  </r>
  <r>
    <s v="TX500466"/>
    <x v="1"/>
    <x v="9"/>
    <n v="75.3"/>
    <n v="376.5"/>
    <x v="20"/>
    <d v="2025-01-22T00:00:00"/>
    <x v="1"/>
    <x v="0"/>
    <x v="0"/>
    <x v="0"/>
    <x v="21"/>
    <x v="3"/>
    <x v="3"/>
    <x v="1"/>
  </r>
  <r>
    <s v="TX500467"/>
    <x v="6"/>
    <x v="0"/>
    <n v="48.5"/>
    <n v="48.5"/>
    <x v="20"/>
    <d v="2025-01-22T00:00:00"/>
    <x v="2"/>
    <x v="0"/>
    <x v="1"/>
    <x v="0"/>
    <x v="21"/>
    <x v="3"/>
    <x v="3"/>
    <x v="2"/>
  </r>
  <r>
    <s v="TX500468"/>
    <x v="6"/>
    <x v="0"/>
    <n v="42.6"/>
    <n v="42.6"/>
    <x v="20"/>
    <d v="2025-01-25T00:00:00"/>
    <x v="2"/>
    <x v="3"/>
    <x v="0"/>
    <x v="0"/>
    <x v="1"/>
    <x v="5"/>
    <x v="3"/>
    <x v="2"/>
  </r>
  <r>
    <s v="TX500469"/>
    <x v="5"/>
    <x v="9"/>
    <n v="49"/>
    <n v="245"/>
    <x v="20"/>
    <d v="2025-01-22T00:00:00"/>
    <x v="1"/>
    <x v="0"/>
    <x v="0"/>
    <x v="0"/>
    <x v="22"/>
    <x v="3"/>
    <x v="3"/>
    <x v="1"/>
  </r>
  <r>
    <s v="TX500470"/>
    <x v="8"/>
    <x v="2"/>
    <n v="31.3"/>
    <n v="93.9"/>
    <x v="20"/>
    <d v="2025-01-22T00:00:00"/>
    <x v="1"/>
    <x v="2"/>
    <x v="1"/>
    <x v="0"/>
    <x v="3"/>
    <x v="3"/>
    <x v="3"/>
    <x v="1"/>
  </r>
  <r>
    <s v="TX500471"/>
    <x v="2"/>
    <x v="1"/>
    <n v="85.4"/>
    <n v="170.8"/>
    <x v="20"/>
    <d v="2025-01-22T00:00:00"/>
    <x v="2"/>
    <x v="2"/>
    <x v="0"/>
    <x v="0"/>
    <x v="3"/>
    <x v="3"/>
    <x v="3"/>
    <x v="2"/>
  </r>
  <r>
    <s v="TX500472"/>
    <x v="8"/>
    <x v="12"/>
    <n v="40"/>
    <n v="160"/>
    <x v="20"/>
    <d v="2025-01-22T00:00:00"/>
    <x v="3"/>
    <x v="0"/>
    <x v="2"/>
    <x v="0"/>
    <x v="3"/>
    <x v="3"/>
    <x v="3"/>
    <x v="3"/>
  </r>
  <r>
    <s v="TX500473"/>
    <x v="5"/>
    <x v="1"/>
    <n v="38.5"/>
    <n v="77"/>
    <x v="20"/>
    <d v="2025-01-24T00:00:00"/>
    <x v="1"/>
    <x v="1"/>
    <x v="2"/>
    <x v="0"/>
    <x v="3"/>
    <x v="2"/>
    <x v="3"/>
    <x v="1"/>
  </r>
  <r>
    <s v="TX500474"/>
    <x v="2"/>
    <x v="1"/>
    <n v="57.8"/>
    <n v="115.6"/>
    <x v="20"/>
    <d v="2025-01-22T00:00:00"/>
    <x v="0"/>
    <x v="0"/>
    <x v="0"/>
    <x v="0"/>
    <x v="3"/>
    <x v="3"/>
    <x v="3"/>
    <x v="0"/>
  </r>
  <r>
    <s v="TX500475"/>
    <x v="8"/>
    <x v="0"/>
    <n v="19.2"/>
    <n v="19.2"/>
    <x v="20"/>
    <d v="2025-01-22T00:00:00"/>
    <x v="2"/>
    <x v="0"/>
    <x v="4"/>
    <x v="0"/>
    <x v="3"/>
    <x v="3"/>
    <x v="3"/>
    <x v="2"/>
  </r>
  <r>
    <s v="TX500476"/>
    <x v="6"/>
    <x v="13"/>
    <n v="114.8"/>
    <n v="688.8"/>
    <x v="20"/>
    <d v="2025-01-24T00:00:00"/>
    <x v="1"/>
    <x v="1"/>
    <x v="1"/>
    <x v="0"/>
    <x v="3"/>
    <x v="2"/>
    <x v="3"/>
    <x v="1"/>
  </r>
  <r>
    <s v="TX500477"/>
    <x v="10"/>
    <x v="3"/>
    <n v="48.4"/>
    <n v="338.8"/>
    <x v="20"/>
    <d v="2025-01-24T00:00:00"/>
    <x v="2"/>
    <x v="3"/>
    <x v="1"/>
    <x v="0"/>
    <x v="3"/>
    <x v="2"/>
    <x v="3"/>
    <x v="2"/>
  </r>
  <r>
    <s v="TX500478"/>
    <x v="9"/>
    <x v="9"/>
    <n v="73.2"/>
    <n v="366"/>
    <x v="20"/>
    <d v="2025-01-22T00:00:00"/>
    <x v="2"/>
    <x v="1"/>
    <x v="4"/>
    <x v="0"/>
    <x v="3"/>
    <x v="3"/>
    <x v="3"/>
    <x v="2"/>
  </r>
  <r>
    <s v="TX500479"/>
    <x v="15"/>
    <x v="1"/>
    <n v="48.6"/>
    <n v="97.2"/>
    <x v="20"/>
    <d v="2025-01-25T00:00:00"/>
    <x v="2"/>
    <x v="3"/>
    <x v="0"/>
    <x v="0"/>
    <x v="3"/>
    <x v="5"/>
    <x v="3"/>
    <x v="2"/>
  </r>
  <r>
    <s v="TX500480"/>
    <x v="0"/>
    <x v="13"/>
    <n v="48.7"/>
    <n v="292.20000000000005"/>
    <x v="20"/>
    <d v="2025-01-22T00:00:00"/>
    <x v="1"/>
    <x v="0"/>
    <x v="0"/>
    <x v="0"/>
    <x v="3"/>
    <x v="3"/>
    <x v="3"/>
    <x v="1"/>
  </r>
  <r>
    <s v="TX500481"/>
    <x v="4"/>
    <x v="1"/>
    <n v="32.200000000000003"/>
    <n v="64.400000000000006"/>
    <x v="20"/>
    <d v="2025-01-24T00:00:00"/>
    <x v="1"/>
    <x v="2"/>
    <x v="2"/>
    <x v="0"/>
    <x v="3"/>
    <x v="2"/>
    <x v="3"/>
    <x v="1"/>
  </r>
  <r>
    <s v="TX500482"/>
    <x v="15"/>
    <x v="8"/>
    <n v="25.8"/>
    <n v="206.4"/>
    <x v="20"/>
    <d v="2025-01-22T00:00:00"/>
    <x v="1"/>
    <x v="0"/>
    <x v="0"/>
    <x v="0"/>
    <x v="37"/>
    <x v="3"/>
    <x v="3"/>
    <x v="1"/>
  </r>
  <r>
    <s v="TX500483"/>
    <x v="6"/>
    <x v="1"/>
    <n v="94.8"/>
    <n v="189.6"/>
    <x v="21"/>
    <d v="2025-01-25T00:00:00"/>
    <x v="2"/>
    <x v="1"/>
    <x v="1"/>
    <x v="0"/>
    <x v="25"/>
    <x v="2"/>
    <x v="3"/>
    <x v="2"/>
  </r>
  <r>
    <s v="TX500484"/>
    <x v="15"/>
    <x v="30"/>
    <n v="56.8"/>
    <n v="1420"/>
    <x v="21"/>
    <d v="2025-01-25T00:00:00"/>
    <x v="1"/>
    <x v="0"/>
    <x v="0"/>
    <x v="0"/>
    <x v="25"/>
    <x v="2"/>
    <x v="3"/>
    <x v="1"/>
  </r>
  <r>
    <s v="TX500485"/>
    <x v="8"/>
    <x v="27"/>
    <n v="18.3"/>
    <n v="292.8"/>
    <x v="21"/>
    <d v="2025-01-29T00:00:00"/>
    <x v="2"/>
    <x v="2"/>
    <x v="2"/>
    <x v="0"/>
    <x v="23"/>
    <x v="6"/>
    <x v="3"/>
    <x v="2"/>
  </r>
  <r>
    <s v="TX500486"/>
    <x v="0"/>
    <x v="2"/>
    <n v="16.8"/>
    <n v="50.400000000000006"/>
    <x v="21"/>
    <d v="2025-01-27T00:00:00"/>
    <x v="2"/>
    <x v="2"/>
    <x v="2"/>
    <x v="0"/>
    <x v="8"/>
    <x v="0"/>
    <x v="3"/>
    <x v="2"/>
  </r>
  <r>
    <s v="TX500487"/>
    <x v="5"/>
    <x v="5"/>
    <n v="35.799999999999997"/>
    <n v="393.79999999999995"/>
    <x v="21"/>
    <d v="2025-01-23T00:00:00"/>
    <x v="1"/>
    <x v="1"/>
    <x v="0"/>
    <x v="0"/>
    <x v="17"/>
    <x v="3"/>
    <x v="3"/>
    <x v="1"/>
  </r>
  <r>
    <s v="TX500488"/>
    <x v="18"/>
    <x v="0"/>
    <n v="64.900000000000006"/>
    <n v="64.900000000000006"/>
    <x v="21"/>
    <d v="2025-01-23T00:00:00"/>
    <x v="1"/>
    <x v="0"/>
    <x v="1"/>
    <x v="0"/>
    <x v="17"/>
    <x v="3"/>
    <x v="3"/>
    <x v="1"/>
  </r>
  <r>
    <s v="TX500489"/>
    <x v="18"/>
    <x v="0"/>
    <n v="28.5"/>
    <n v="28.5"/>
    <x v="21"/>
    <d v="2025-01-24T00:00:00"/>
    <x v="0"/>
    <x v="1"/>
    <x v="0"/>
    <x v="0"/>
    <x v="9"/>
    <x v="1"/>
    <x v="3"/>
    <x v="0"/>
  </r>
  <r>
    <s v="TX500490"/>
    <x v="18"/>
    <x v="1"/>
    <n v="103.5"/>
    <n v="207"/>
    <x v="21"/>
    <d v="2025-01-24T00:00:00"/>
    <x v="2"/>
    <x v="1"/>
    <x v="0"/>
    <x v="0"/>
    <x v="10"/>
    <x v="1"/>
    <x v="3"/>
    <x v="2"/>
  </r>
  <r>
    <s v="TX500491"/>
    <x v="4"/>
    <x v="1"/>
    <n v="41.2"/>
    <n v="82.4"/>
    <x v="21"/>
    <d v="2025-01-23T00:00:00"/>
    <x v="2"/>
    <x v="1"/>
    <x v="0"/>
    <x v="0"/>
    <x v="10"/>
    <x v="3"/>
    <x v="3"/>
    <x v="2"/>
  </r>
  <r>
    <s v="TX500492"/>
    <x v="9"/>
    <x v="0"/>
    <n v="37.799999999999997"/>
    <n v="37.799999999999997"/>
    <x v="21"/>
    <d v="2025-01-24T00:00:00"/>
    <x v="2"/>
    <x v="3"/>
    <x v="3"/>
    <x v="0"/>
    <x v="11"/>
    <x v="1"/>
    <x v="3"/>
    <x v="2"/>
  </r>
  <r>
    <s v="TX500493"/>
    <x v="8"/>
    <x v="1"/>
    <n v="42.6"/>
    <n v="85.2"/>
    <x v="21"/>
    <d v="2025-01-24T00:00:00"/>
    <x v="2"/>
    <x v="4"/>
    <x v="0"/>
    <x v="0"/>
    <x v="11"/>
    <x v="1"/>
    <x v="3"/>
    <x v="2"/>
  </r>
  <r>
    <s v="TX500494"/>
    <x v="8"/>
    <x v="7"/>
    <n v="15.2"/>
    <n v="152"/>
    <x v="21"/>
    <d v="2025-01-24T00:00:00"/>
    <x v="2"/>
    <x v="2"/>
    <x v="0"/>
    <x v="0"/>
    <x v="11"/>
    <x v="1"/>
    <x v="3"/>
    <x v="2"/>
  </r>
  <r>
    <s v="TX500495"/>
    <x v="7"/>
    <x v="12"/>
    <n v="83.4"/>
    <n v="333.6"/>
    <x v="21"/>
    <d v="2025-01-23T00:00:00"/>
    <x v="2"/>
    <x v="2"/>
    <x v="1"/>
    <x v="0"/>
    <x v="18"/>
    <x v="3"/>
    <x v="3"/>
    <x v="2"/>
  </r>
  <r>
    <s v="TX500496"/>
    <x v="19"/>
    <x v="1"/>
    <n v="27.7"/>
    <n v="55.4"/>
    <x v="21"/>
    <d v="2025-01-23T00:00:00"/>
    <x v="2"/>
    <x v="0"/>
    <x v="1"/>
    <x v="0"/>
    <x v="13"/>
    <x v="3"/>
    <x v="3"/>
    <x v="2"/>
  </r>
  <r>
    <s v="TX500497"/>
    <x v="10"/>
    <x v="4"/>
    <n v="20.8"/>
    <n v="249.60000000000002"/>
    <x v="21"/>
    <d v="2025-01-23T00:00:00"/>
    <x v="1"/>
    <x v="3"/>
    <x v="0"/>
    <x v="0"/>
    <x v="13"/>
    <x v="3"/>
    <x v="3"/>
    <x v="1"/>
  </r>
  <r>
    <s v="TX500498"/>
    <x v="11"/>
    <x v="1"/>
    <n v="72.7"/>
    <n v="145.4"/>
    <x v="21"/>
    <d v="2025-01-26T00:00:00"/>
    <x v="2"/>
    <x v="4"/>
    <x v="2"/>
    <x v="0"/>
    <x v="44"/>
    <x v="5"/>
    <x v="3"/>
    <x v="2"/>
  </r>
  <r>
    <s v="TX500499"/>
    <x v="10"/>
    <x v="12"/>
    <n v="38.6"/>
    <n v="154.4"/>
    <x v="21"/>
    <d v="2025-01-23T00:00:00"/>
    <x v="1"/>
    <x v="0"/>
    <x v="2"/>
    <x v="0"/>
    <x v="22"/>
    <x v="3"/>
    <x v="3"/>
    <x v="1"/>
  </r>
  <r>
    <s v="TX500500"/>
    <x v="8"/>
    <x v="3"/>
    <n v="33.1"/>
    <n v="231.70000000000002"/>
    <x v="21"/>
    <d v="2025-01-23T00:00:00"/>
    <x v="3"/>
    <x v="4"/>
    <x v="3"/>
    <x v="0"/>
    <x v="3"/>
    <x v="3"/>
    <x v="3"/>
    <x v="3"/>
  </r>
  <r>
    <s v="TX500501"/>
    <x v="10"/>
    <x v="1"/>
    <n v="30.5"/>
    <n v="61"/>
    <x v="21"/>
    <d v="2025-01-22T00:00:00"/>
    <x v="0"/>
    <x v="1"/>
    <x v="1"/>
    <x v="0"/>
    <x v="3"/>
    <x v="7"/>
    <x v="3"/>
    <x v="0"/>
  </r>
  <r>
    <s v="TX500502"/>
    <x v="9"/>
    <x v="1"/>
    <n v="69.599999999999994"/>
    <n v="139.19999999999999"/>
    <x v="21"/>
    <d v="2025-01-23T00:00:00"/>
    <x v="1"/>
    <x v="0"/>
    <x v="1"/>
    <x v="0"/>
    <x v="3"/>
    <x v="3"/>
    <x v="3"/>
    <x v="1"/>
  </r>
  <r>
    <s v="TX500503"/>
    <x v="11"/>
    <x v="0"/>
    <n v="42.4"/>
    <n v="42.4"/>
    <x v="21"/>
    <d v="2025-01-26T00:00:00"/>
    <x v="2"/>
    <x v="1"/>
    <x v="0"/>
    <x v="0"/>
    <x v="3"/>
    <x v="5"/>
    <x v="3"/>
    <x v="2"/>
  </r>
  <r>
    <s v="TX500504"/>
    <x v="17"/>
    <x v="0"/>
    <n v="32.200000000000003"/>
    <n v="32.200000000000003"/>
    <x v="21"/>
    <d v="2025-01-25T00:00:00"/>
    <x v="2"/>
    <x v="2"/>
    <x v="1"/>
    <x v="0"/>
    <x v="3"/>
    <x v="2"/>
    <x v="3"/>
    <x v="2"/>
  </r>
  <r>
    <s v="TX500505"/>
    <x v="6"/>
    <x v="1"/>
    <n v="41.5"/>
    <n v="83"/>
    <x v="21"/>
    <d v="2025-01-25T00:00:00"/>
    <x v="2"/>
    <x v="0"/>
    <x v="2"/>
    <x v="0"/>
    <x v="3"/>
    <x v="2"/>
    <x v="3"/>
    <x v="2"/>
  </r>
  <r>
    <s v="TX500506"/>
    <x v="16"/>
    <x v="11"/>
    <n v="58.9"/>
    <n v="530.1"/>
    <x v="21"/>
    <d v="2025-01-26T00:00:00"/>
    <x v="2"/>
    <x v="3"/>
    <x v="0"/>
    <x v="0"/>
    <x v="3"/>
    <x v="5"/>
    <x v="3"/>
    <x v="2"/>
  </r>
  <r>
    <s v="TX500507"/>
    <x v="2"/>
    <x v="0"/>
    <n v="57.1"/>
    <n v="57.1"/>
    <x v="21"/>
    <d v="2025-01-25T00:00:00"/>
    <x v="2"/>
    <x v="1"/>
    <x v="0"/>
    <x v="0"/>
    <x v="3"/>
    <x v="2"/>
    <x v="3"/>
    <x v="2"/>
  </r>
  <r>
    <s v="TX500508"/>
    <x v="6"/>
    <x v="0"/>
    <n v="57.2"/>
    <n v="57.2"/>
    <x v="21"/>
    <d v="2025-01-24T00:00:00"/>
    <x v="1"/>
    <x v="1"/>
    <x v="0"/>
    <x v="0"/>
    <x v="3"/>
    <x v="1"/>
    <x v="3"/>
    <x v="1"/>
  </r>
  <r>
    <s v="TX500509"/>
    <x v="8"/>
    <x v="1"/>
    <n v="35.1"/>
    <n v="70.2"/>
    <x v="21"/>
    <d v="2025-01-23T00:00:00"/>
    <x v="1"/>
    <x v="1"/>
    <x v="0"/>
    <x v="0"/>
    <x v="6"/>
    <x v="3"/>
    <x v="3"/>
    <x v="1"/>
  </r>
  <r>
    <s v="TX500510"/>
    <x v="1"/>
    <x v="0"/>
    <n v="52.1"/>
    <n v="52.1"/>
    <x v="21"/>
    <d v="2025-01-24T00:00:00"/>
    <x v="2"/>
    <x v="4"/>
    <x v="1"/>
    <x v="0"/>
    <x v="8"/>
    <x v="1"/>
    <x v="3"/>
    <x v="2"/>
  </r>
  <r>
    <s v="TX500511"/>
    <x v="13"/>
    <x v="2"/>
    <n v="59.8"/>
    <n v="179.39999999999998"/>
    <x v="21"/>
    <d v="2025-01-24T00:00:00"/>
    <x v="2"/>
    <x v="4"/>
    <x v="1"/>
    <x v="0"/>
    <x v="8"/>
    <x v="1"/>
    <x v="3"/>
    <x v="2"/>
  </r>
  <r>
    <s v="TX500512"/>
    <x v="3"/>
    <x v="12"/>
    <n v="83.3"/>
    <n v="333.2"/>
    <x v="21"/>
    <d v="2025-01-22T00:00:00"/>
    <x v="0"/>
    <x v="2"/>
    <x v="0"/>
    <x v="0"/>
    <x v="8"/>
    <x v="7"/>
    <x v="3"/>
    <x v="0"/>
  </r>
  <r>
    <s v="TX500513"/>
    <x v="15"/>
    <x v="4"/>
    <n v="41.3"/>
    <n v="495.59999999999997"/>
    <x v="21"/>
    <d v="2025-01-23T00:00:00"/>
    <x v="2"/>
    <x v="1"/>
    <x v="0"/>
    <x v="0"/>
    <x v="8"/>
    <x v="3"/>
    <x v="3"/>
    <x v="2"/>
  </r>
  <r>
    <s v="TX500514"/>
    <x v="8"/>
    <x v="9"/>
    <n v="16"/>
    <n v="80"/>
    <x v="21"/>
    <d v="2025-01-24T00:00:00"/>
    <x v="1"/>
    <x v="4"/>
    <x v="1"/>
    <x v="0"/>
    <x v="9"/>
    <x v="1"/>
    <x v="3"/>
    <x v="1"/>
  </r>
  <r>
    <s v="TX500515"/>
    <x v="10"/>
    <x v="1"/>
    <n v="20.8"/>
    <n v="41.6"/>
    <x v="22"/>
    <d v="2025-01-25T00:00:00"/>
    <x v="1"/>
    <x v="0"/>
    <x v="2"/>
    <x v="0"/>
    <x v="11"/>
    <x v="1"/>
    <x v="3"/>
    <x v="1"/>
  </r>
  <r>
    <s v="TX500516"/>
    <x v="8"/>
    <x v="31"/>
    <n v="27.1"/>
    <n v="758.80000000000007"/>
    <x v="22"/>
    <d v="2025-01-24T00:00:00"/>
    <x v="0"/>
    <x v="3"/>
    <x v="2"/>
    <x v="0"/>
    <x v="11"/>
    <x v="3"/>
    <x v="3"/>
    <x v="0"/>
  </r>
  <r>
    <s v="TX500517"/>
    <x v="10"/>
    <x v="1"/>
    <n v="38.9"/>
    <n v="77.8"/>
    <x v="22"/>
    <d v="2025-01-25T00:00:00"/>
    <x v="2"/>
    <x v="0"/>
    <x v="0"/>
    <x v="0"/>
    <x v="18"/>
    <x v="1"/>
    <x v="3"/>
    <x v="2"/>
  </r>
  <r>
    <s v="TX500518"/>
    <x v="0"/>
    <x v="1"/>
    <n v="10.8"/>
    <n v="21.6"/>
    <x v="22"/>
    <d v="2025-01-26T00:00:00"/>
    <x v="2"/>
    <x v="1"/>
    <x v="2"/>
    <x v="0"/>
    <x v="45"/>
    <x v="2"/>
    <x v="3"/>
    <x v="2"/>
  </r>
  <r>
    <s v="TX500519"/>
    <x v="4"/>
    <x v="15"/>
    <n v="48.4"/>
    <n v="629.19999999999993"/>
    <x v="22"/>
    <d v="2025-01-27T00:00:00"/>
    <x v="2"/>
    <x v="0"/>
    <x v="0"/>
    <x v="0"/>
    <x v="21"/>
    <x v="5"/>
    <x v="3"/>
    <x v="2"/>
  </r>
  <r>
    <s v="TX500520"/>
    <x v="4"/>
    <x v="2"/>
    <n v="29.2"/>
    <n v="87.6"/>
    <x v="22"/>
    <d v="2025-01-26T00:00:00"/>
    <x v="2"/>
    <x v="1"/>
    <x v="1"/>
    <x v="0"/>
    <x v="2"/>
    <x v="2"/>
    <x v="3"/>
    <x v="2"/>
  </r>
  <r>
    <s v="TX500521"/>
    <x v="4"/>
    <x v="1"/>
    <n v="25.1"/>
    <n v="50.2"/>
    <x v="22"/>
    <d v="2025-01-24T00:00:00"/>
    <x v="1"/>
    <x v="0"/>
    <x v="1"/>
    <x v="0"/>
    <x v="2"/>
    <x v="3"/>
    <x v="3"/>
    <x v="1"/>
  </r>
  <r>
    <s v="TX500522"/>
    <x v="7"/>
    <x v="2"/>
    <n v="65.599999999999994"/>
    <n v="196.79999999999998"/>
    <x v="22"/>
    <d v="2025-01-23T00:00:00"/>
    <x v="2"/>
    <x v="2"/>
    <x v="1"/>
    <x v="0"/>
    <x v="3"/>
    <x v="7"/>
    <x v="3"/>
    <x v="2"/>
  </r>
  <r>
    <s v="TX500523"/>
    <x v="2"/>
    <x v="1"/>
    <n v="57.3"/>
    <n v="114.6"/>
    <x v="22"/>
    <d v="2025-01-23T00:00:00"/>
    <x v="0"/>
    <x v="0"/>
    <x v="0"/>
    <x v="0"/>
    <x v="3"/>
    <x v="7"/>
    <x v="3"/>
    <x v="0"/>
  </r>
  <r>
    <s v="TX500524"/>
    <x v="9"/>
    <x v="12"/>
    <n v="22.4"/>
    <n v="89.6"/>
    <x v="22"/>
    <d v="2025-01-24T00:00:00"/>
    <x v="2"/>
    <x v="2"/>
    <x v="2"/>
    <x v="0"/>
    <x v="3"/>
    <x v="3"/>
    <x v="3"/>
    <x v="2"/>
  </r>
  <r>
    <s v="TX500525"/>
    <x v="12"/>
    <x v="11"/>
    <n v="45.7"/>
    <n v="411.3"/>
    <x v="22"/>
    <d v="2025-01-24T00:00:00"/>
    <x v="2"/>
    <x v="0"/>
    <x v="0"/>
    <x v="0"/>
    <x v="3"/>
    <x v="3"/>
    <x v="3"/>
    <x v="2"/>
  </r>
  <r>
    <s v="TX500526"/>
    <x v="8"/>
    <x v="1"/>
    <n v="29.3"/>
    <n v="58.6"/>
    <x v="22"/>
    <d v="2025-01-24T00:00:00"/>
    <x v="1"/>
    <x v="1"/>
    <x v="0"/>
    <x v="0"/>
    <x v="3"/>
    <x v="3"/>
    <x v="3"/>
    <x v="1"/>
  </r>
  <r>
    <s v="TX500527"/>
    <x v="18"/>
    <x v="32"/>
    <n v="74"/>
    <n v="1628"/>
    <x v="22"/>
    <d v="2025-01-24T00:00:00"/>
    <x v="1"/>
    <x v="0"/>
    <x v="2"/>
    <x v="0"/>
    <x v="3"/>
    <x v="3"/>
    <x v="3"/>
    <x v="1"/>
  </r>
  <r>
    <s v="TX500528"/>
    <x v="14"/>
    <x v="1"/>
    <n v="39.200000000000003"/>
    <n v="78.400000000000006"/>
    <x v="22"/>
    <d v="2025-01-25T00:00:00"/>
    <x v="2"/>
    <x v="1"/>
    <x v="0"/>
    <x v="0"/>
    <x v="3"/>
    <x v="1"/>
    <x v="3"/>
    <x v="2"/>
  </r>
  <r>
    <s v="TX500529"/>
    <x v="4"/>
    <x v="14"/>
    <n v="62.7"/>
    <n v="1065.9000000000001"/>
    <x v="22"/>
    <d v="2025-01-24T00:00:00"/>
    <x v="2"/>
    <x v="2"/>
    <x v="1"/>
    <x v="0"/>
    <x v="3"/>
    <x v="3"/>
    <x v="3"/>
    <x v="2"/>
  </r>
  <r>
    <s v="TX500530"/>
    <x v="10"/>
    <x v="1"/>
    <n v="60.1"/>
    <n v="120.2"/>
    <x v="22"/>
    <d v="2025-01-24T00:00:00"/>
    <x v="2"/>
    <x v="3"/>
    <x v="0"/>
    <x v="0"/>
    <x v="3"/>
    <x v="3"/>
    <x v="3"/>
    <x v="2"/>
  </r>
  <r>
    <s v="TX500531"/>
    <x v="0"/>
    <x v="12"/>
    <n v="11.2"/>
    <n v="44.8"/>
    <x v="22"/>
    <d v="2025-01-24T00:00:00"/>
    <x v="2"/>
    <x v="3"/>
    <x v="1"/>
    <x v="0"/>
    <x v="3"/>
    <x v="3"/>
    <x v="3"/>
    <x v="2"/>
  </r>
  <r>
    <s v="TX500532"/>
    <x v="8"/>
    <x v="1"/>
    <n v="22.9"/>
    <n v="45.8"/>
    <x v="22"/>
    <d v="2025-01-24T00:00:00"/>
    <x v="2"/>
    <x v="0"/>
    <x v="0"/>
    <x v="0"/>
    <x v="6"/>
    <x v="3"/>
    <x v="3"/>
    <x v="2"/>
  </r>
  <r>
    <s v="TX500533"/>
    <x v="1"/>
    <x v="1"/>
    <n v="37.6"/>
    <n v="75.2"/>
    <x v="22"/>
    <d v="2025-01-26T00:00:00"/>
    <x v="2"/>
    <x v="0"/>
    <x v="0"/>
    <x v="0"/>
    <x v="6"/>
    <x v="2"/>
    <x v="3"/>
    <x v="2"/>
  </r>
  <r>
    <s v="TX500534"/>
    <x v="6"/>
    <x v="0"/>
    <n v="42.4"/>
    <n v="42.4"/>
    <x v="22"/>
    <d v="2025-01-24T00:00:00"/>
    <x v="2"/>
    <x v="3"/>
    <x v="2"/>
    <x v="0"/>
    <x v="6"/>
    <x v="3"/>
    <x v="3"/>
    <x v="2"/>
  </r>
  <r>
    <s v="TX500535"/>
    <x v="8"/>
    <x v="1"/>
    <n v="19.600000000000001"/>
    <n v="39.200000000000003"/>
    <x v="22"/>
    <d v="2025-01-27T00:00:00"/>
    <x v="2"/>
    <x v="2"/>
    <x v="0"/>
    <x v="0"/>
    <x v="7"/>
    <x v="5"/>
    <x v="3"/>
    <x v="2"/>
  </r>
  <r>
    <s v="TX500536"/>
    <x v="9"/>
    <x v="0"/>
    <n v="90.5"/>
    <n v="90.5"/>
    <x v="22"/>
    <d v="2025-01-26T00:00:00"/>
    <x v="2"/>
    <x v="2"/>
    <x v="0"/>
    <x v="0"/>
    <x v="7"/>
    <x v="2"/>
    <x v="3"/>
    <x v="2"/>
  </r>
  <r>
    <s v="TX500537"/>
    <x v="16"/>
    <x v="5"/>
    <n v="33.9"/>
    <n v="372.9"/>
    <x v="22"/>
    <d v="2025-01-24T00:00:00"/>
    <x v="1"/>
    <x v="2"/>
    <x v="1"/>
    <x v="0"/>
    <x v="7"/>
    <x v="3"/>
    <x v="3"/>
    <x v="1"/>
  </r>
  <r>
    <s v="TX500538"/>
    <x v="0"/>
    <x v="1"/>
    <n v="32.799999999999997"/>
    <n v="65.599999999999994"/>
    <x v="22"/>
    <d v="2025-01-25T00:00:00"/>
    <x v="2"/>
    <x v="4"/>
    <x v="4"/>
    <x v="0"/>
    <x v="8"/>
    <x v="1"/>
    <x v="3"/>
    <x v="2"/>
  </r>
  <r>
    <s v="TX500539"/>
    <x v="15"/>
    <x v="0"/>
    <n v="49.9"/>
    <n v="49.9"/>
    <x v="22"/>
    <d v="2025-01-24T00:00:00"/>
    <x v="1"/>
    <x v="3"/>
    <x v="1"/>
    <x v="0"/>
    <x v="8"/>
    <x v="3"/>
    <x v="3"/>
    <x v="1"/>
  </r>
  <r>
    <s v="TX500540"/>
    <x v="7"/>
    <x v="9"/>
    <n v="79.2"/>
    <n v="396"/>
    <x v="22"/>
    <d v="2025-01-24T00:00:00"/>
    <x v="2"/>
    <x v="4"/>
    <x v="0"/>
    <x v="0"/>
    <x v="8"/>
    <x v="3"/>
    <x v="3"/>
    <x v="2"/>
  </r>
  <r>
    <s v="TX500541"/>
    <x v="8"/>
    <x v="27"/>
    <n v="19.5"/>
    <n v="312"/>
    <x v="22"/>
    <d v="2025-01-25T00:00:00"/>
    <x v="1"/>
    <x v="3"/>
    <x v="2"/>
    <x v="0"/>
    <x v="8"/>
    <x v="1"/>
    <x v="3"/>
    <x v="1"/>
  </r>
  <r>
    <s v="TX500542"/>
    <x v="8"/>
    <x v="12"/>
    <n v="18"/>
    <n v="72"/>
    <x v="22"/>
    <d v="2025-01-24T00:00:00"/>
    <x v="1"/>
    <x v="1"/>
    <x v="0"/>
    <x v="0"/>
    <x v="10"/>
    <x v="3"/>
    <x v="3"/>
    <x v="1"/>
  </r>
  <r>
    <s v="TX500543"/>
    <x v="9"/>
    <x v="2"/>
    <n v="45.9"/>
    <n v="137.69999999999999"/>
    <x v="22"/>
    <d v="2025-01-25T00:00:00"/>
    <x v="2"/>
    <x v="1"/>
    <x v="1"/>
    <x v="0"/>
    <x v="10"/>
    <x v="1"/>
    <x v="3"/>
    <x v="2"/>
  </r>
  <r>
    <s v="TX500544"/>
    <x v="11"/>
    <x v="0"/>
    <n v="41.2"/>
    <n v="41.2"/>
    <x v="22"/>
    <d v="2025-01-25T00:00:00"/>
    <x v="2"/>
    <x v="1"/>
    <x v="2"/>
    <x v="0"/>
    <x v="11"/>
    <x v="1"/>
    <x v="3"/>
    <x v="2"/>
  </r>
  <r>
    <s v="TX500545"/>
    <x v="2"/>
    <x v="7"/>
    <n v="167.2"/>
    <n v="1672"/>
    <x v="22"/>
    <d v="2025-01-25T00:00:00"/>
    <x v="2"/>
    <x v="2"/>
    <x v="2"/>
    <x v="0"/>
    <x v="32"/>
    <x v="1"/>
    <x v="3"/>
    <x v="2"/>
  </r>
  <r>
    <s v="TX500546"/>
    <x v="6"/>
    <x v="17"/>
    <n v="74.5"/>
    <n v="2235"/>
    <x v="23"/>
    <d v="2025-01-27T00:00:00"/>
    <x v="2"/>
    <x v="1"/>
    <x v="2"/>
    <x v="0"/>
    <x v="38"/>
    <x v="2"/>
    <x v="3"/>
    <x v="2"/>
  </r>
  <r>
    <s v="TX500547"/>
    <x v="7"/>
    <x v="12"/>
    <n v="39.299999999999997"/>
    <n v="157.19999999999999"/>
    <x v="23"/>
    <d v="2025-01-25T00:00:00"/>
    <x v="0"/>
    <x v="2"/>
    <x v="0"/>
    <x v="0"/>
    <x v="19"/>
    <x v="3"/>
    <x v="3"/>
    <x v="0"/>
  </r>
  <r>
    <s v="TX500548"/>
    <x v="9"/>
    <x v="0"/>
    <n v="68.5"/>
    <n v="68.5"/>
    <x v="23"/>
    <d v="2025-01-27T00:00:00"/>
    <x v="1"/>
    <x v="1"/>
    <x v="2"/>
    <x v="0"/>
    <x v="12"/>
    <x v="2"/>
    <x v="3"/>
    <x v="1"/>
  </r>
  <r>
    <s v="TX500549"/>
    <x v="0"/>
    <x v="2"/>
    <n v="22.5"/>
    <n v="67.5"/>
    <x v="23"/>
    <d v="2025-01-24T00:00:00"/>
    <x v="2"/>
    <x v="4"/>
    <x v="0"/>
    <x v="0"/>
    <x v="13"/>
    <x v="7"/>
    <x v="3"/>
    <x v="2"/>
  </r>
  <r>
    <s v="TX500550"/>
    <x v="1"/>
    <x v="0"/>
    <n v="48"/>
    <n v="48"/>
    <x v="23"/>
    <d v="2025-01-25T00:00:00"/>
    <x v="3"/>
    <x v="4"/>
    <x v="1"/>
    <x v="0"/>
    <x v="46"/>
    <x v="3"/>
    <x v="3"/>
    <x v="3"/>
  </r>
  <r>
    <s v="TX500551"/>
    <x v="6"/>
    <x v="0"/>
    <n v="94"/>
    <n v="94"/>
    <x v="23"/>
    <d v="2025-01-25T00:00:00"/>
    <x v="1"/>
    <x v="3"/>
    <x v="1"/>
    <x v="0"/>
    <x v="1"/>
    <x v="3"/>
    <x v="3"/>
    <x v="1"/>
  </r>
  <r>
    <s v="TX500552"/>
    <x v="8"/>
    <x v="2"/>
    <n v="21.9"/>
    <n v="65.699999999999989"/>
    <x v="23"/>
    <d v="2025-01-25T00:00:00"/>
    <x v="2"/>
    <x v="0"/>
    <x v="0"/>
    <x v="0"/>
    <x v="44"/>
    <x v="3"/>
    <x v="3"/>
    <x v="2"/>
  </r>
  <r>
    <s v="TX500553"/>
    <x v="6"/>
    <x v="3"/>
    <n v="64.900000000000006"/>
    <n v="454.30000000000007"/>
    <x v="23"/>
    <d v="2025-01-25T00:00:00"/>
    <x v="2"/>
    <x v="0"/>
    <x v="0"/>
    <x v="0"/>
    <x v="3"/>
    <x v="3"/>
    <x v="3"/>
    <x v="2"/>
  </r>
  <r>
    <s v="TX500554"/>
    <x v="12"/>
    <x v="0"/>
    <n v="52.9"/>
    <n v="52.9"/>
    <x v="23"/>
    <d v="2025-01-24T00:00:00"/>
    <x v="2"/>
    <x v="1"/>
    <x v="1"/>
    <x v="0"/>
    <x v="3"/>
    <x v="7"/>
    <x v="3"/>
    <x v="2"/>
  </r>
  <r>
    <s v="TX500555"/>
    <x v="8"/>
    <x v="2"/>
    <n v="25.5"/>
    <n v="76.5"/>
    <x v="23"/>
    <d v="2025-01-25T00:00:00"/>
    <x v="2"/>
    <x v="1"/>
    <x v="2"/>
    <x v="0"/>
    <x v="3"/>
    <x v="3"/>
    <x v="3"/>
    <x v="2"/>
  </r>
  <r>
    <s v="TX500556"/>
    <x v="6"/>
    <x v="2"/>
    <n v="51.9"/>
    <n v="155.69999999999999"/>
    <x v="23"/>
    <d v="2025-01-25T00:00:00"/>
    <x v="2"/>
    <x v="3"/>
    <x v="0"/>
    <x v="0"/>
    <x v="3"/>
    <x v="3"/>
    <x v="3"/>
    <x v="2"/>
  </r>
  <r>
    <s v="TX500557"/>
    <x v="5"/>
    <x v="0"/>
    <n v="46.3"/>
    <n v="46.3"/>
    <x v="23"/>
    <d v="2025-01-27T00:00:00"/>
    <x v="2"/>
    <x v="4"/>
    <x v="0"/>
    <x v="0"/>
    <x v="3"/>
    <x v="2"/>
    <x v="3"/>
    <x v="2"/>
  </r>
  <r>
    <s v="TX500558"/>
    <x v="6"/>
    <x v="1"/>
    <n v="68.2"/>
    <n v="136.4"/>
    <x v="23"/>
    <d v="2025-01-26T00:00:00"/>
    <x v="2"/>
    <x v="3"/>
    <x v="0"/>
    <x v="0"/>
    <x v="3"/>
    <x v="1"/>
    <x v="3"/>
    <x v="2"/>
  </r>
  <r>
    <s v="TX500559"/>
    <x v="1"/>
    <x v="0"/>
    <n v="40.299999999999997"/>
    <n v="40.299999999999997"/>
    <x v="23"/>
    <d v="2025-01-25T00:00:00"/>
    <x v="1"/>
    <x v="0"/>
    <x v="1"/>
    <x v="0"/>
    <x v="3"/>
    <x v="3"/>
    <x v="3"/>
    <x v="1"/>
  </r>
  <r>
    <s v="TX500560"/>
    <x v="2"/>
    <x v="2"/>
    <n v="91.3"/>
    <n v="273.89999999999998"/>
    <x v="23"/>
    <d v="2025-01-29T00:00:00"/>
    <x v="1"/>
    <x v="0"/>
    <x v="2"/>
    <x v="0"/>
    <x v="6"/>
    <x v="0"/>
    <x v="3"/>
    <x v="1"/>
  </r>
  <r>
    <s v="TX500561"/>
    <x v="0"/>
    <x v="2"/>
    <n v="11.9"/>
    <n v="35.700000000000003"/>
    <x v="23"/>
    <d v="2025-01-25T00:00:00"/>
    <x v="2"/>
    <x v="0"/>
    <x v="1"/>
    <x v="0"/>
    <x v="6"/>
    <x v="3"/>
    <x v="3"/>
    <x v="2"/>
  </r>
  <r>
    <s v="TX500562"/>
    <x v="2"/>
    <x v="1"/>
    <n v="63.5"/>
    <n v="127"/>
    <x v="23"/>
    <d v="2025-01-26T00:00:00"/>
    <x v="1"/>
    <x v="1"/>
    <x v="0"/>
    <x v="0"/>
    <x v="6"/>
    <x v="1"/>
    <x v="3"/>
    <x v="1"/>
  </r>
  <r>
    <s v="TX500563"/>
    <x v="4"/>
    <x v="1"/>
    <n v="27.1"/>
    <n v="54.2"/>
    <x v="23"/>
    <d v="2025-01-27T00:00:00"/>
    <x v="1"/>
    <x v="2"/>
    <x v="2"/>
    <x v="0"/>
    <x v="6"/>
    <x v="2"/>
    <x v="3"/>
    <x v="1"/>
  </r>
  <r>
    <s v="TX500564"/>
    <x v="1"/>
    <x v="1"/>
    <n v="82.1"/>
    <n v="164.2"/>
    <x v="24"/>
    <d v="2025-01-28T00:00:00"/>
    <x v="1"/>
    <x v="1"/>
    <x v="1"/>
    <x v="0"/>
    <x v="7"/>
    <x v="2"/>
    <x v="3"/>
    <x v="1"/>
  </r>
  <r>
    <s v="TX500565"/>
    <x v="3"/>
    <x v="9"/>
    <n v="42.9"/>
    <n v="214.5"/>
    <x v="24"/>
    <d v="2025-01-27T00:00:00"/>
    <x v="2"/>
    <x v="1"/>
    <x v="0"/>
    <x v="0"/>
    <x v="8"/>
    <x v="1"/>
    <x v="3"/>
    <x v="2"/>
  </r>
  <r>
    <s v="TX500566"/>
    <x v="8"/>
    <x v="5"/>
    <n v="37.9"/>
    <n v="416.9"/>
    <x v="24"/>
    <d v="2025-02-01T00:00:00"/>
    <x v="1"/>
    <x v="0"/>
    <x v="0"/>
    <x v="0"/>
    <x v="8"/>
    <x v="6"/>
    <x v="3"/>
    <x v="1"/>
  </r>
  <r>
    <s v="TX500567"/>
    <x v="0"/>
    <x v="0"/>
    <n v="22.4"/>
    <n v="22.4"/>
    <x v="24"/>
    <d v="2025-01-26T00:00:00"/>
    <x v="2"/>
    <x v="0"/>
    <x v="1"/>
    <x v="0"/>
    <x v="17"/>
    <x v="3"/>
    <x v="3"/>
    <x v="2"/>
  </r>
  <r>
    <s v="TX500568"/>
    <x v="2"/>
    <x v="15"/>
    <n v="79.900000000000006"/>
    <n v="1038.7"/>
    <x v="24"/>
    <d v="2025-02-07T00:00:00"/>
    <x v="2"/>
    <x v="3"/>
    <x v="1"/>
    <x v="0"/>
    <x v="11"/>
    <x v="10"/>
    <x v="3"/>
    <x v="2"/>
  </r>
  <r>
    <s v="TX500569"/>
    <x v="1"/>
    <x v="0"/>
    <n v="70.599999999999994"/>
    <n v="70.599999999999994"/>
    <x v="24"/>
    <d v="2025-01-28T00:00:00"/>
    <x v="2"/>
    <x v="0"/>
    <x v="1"/>
    <x v="0"/>
    <x v="11"/>
    <x v="2"/>
    <x v="3"/>
    <x v="2"/>
  </r>
  <r>
    <s v="TX500570"/>
    <x v="6"/>
    <x v="0"/>
    <n v="49.5"/>
    <n v="49.5"/>
    <x v="24"/>
    <d v="2025-01-27T00:00:00"/>
    <x v="1"/>
    <x v="0"/>
    <x v="0"/>
    <x v="0"/>
    <x v="13"/>
    <x v="1"/>
    <x v="3"/>
    <x v="1"/>
  </r>
  <r>
    <s v="TX500571"/>
    <x v="2"/>
    <x v="1"/>
    <n v="96.6"/>
    <n v="193.2"/>
    <x v="24"/>
    <d v="2025-01-27T00:00:00"/>
    <x v="1"/>
    <x v="0"/>
    <x v="0"/>
    <x v="0"/>
    <x v="21"/>
    <x v="1"/>
    <x v="3"/>
    <x v="1"/>
  </r>
  <r>
    <s v="TX500572"/>
    <x v="6"/>
    <x v="1"/>
    <n v="52.8"/>
    <n v="105.6"/>
    <x v="24"/>
    <d v="2025-01-26T00:00:00"/>
    <x v="2"/>
    <x v="1"/>
    <x v="1"/>
    <x v="0"/>
    <x v="21"/>
    <x v="3"/>
    <x v="3"/>
    <x v="2"/>
  </r>
  <r>
    <s v="TX500573"/>
    <x v="2"/>
    <x v="0"/>
    <n v="101.7"/>
    <n v="101.7"/>
    <x v="24"/>
    <d v="2025-01-26T00:00:00"/>
    <x v="1"/>
    <x v="0"/>
    <x v="0"/>
    <x v="0"/>
    <x v="1"/>
    <x v="3"/>
    <x v="3"/>
    <x v="1"/>
  </r>
  <r>
    <s v="TX500574"/>
    <x v="4"/>
    <x v="9"/>
    <n v="26.9"/>
    <n v="134.5"/>
    <x v="24"/>
    <d v="2025-01-30T00:00:00"/>
    <x v="2"/>
    <x v="1"/>
    <x v="1"/>
    <x v="0"/>
    <x v="22"/>
    <x v="0"/>
    <x v="3"/>
    <x v="2"/>
  </r>
  <r>
    <s v="TX500575"/>
    <x v="2"/>
    <x v="12"/>
    <n v="211"/>
    <n v="844"/>
    <x v="24"/>
    <d v="2025-01-25T00:00:00"/>
    <x v="2"/>
    <x v="1"/>
    <x v="1"/>
    <x v="0"/>
    <x v="3"/>
    <x v="7"/>
    <x v="3"/>
    <x v="2"/>
  </r>
  <r>
    <s v="TX500576"/>
    <x v="0"/>
    <x v="12"/>
    <n v="21.1"/>
    <n v="84.4"/>
    <x v="24"/>
    <d v="2025-01-28T00:00:00"/>
    <x v="1"/>
    <x v="4"/>
    <x v="0"/>
    <x v="0"/>
    <x v="3"/>
    <x v="2"/>
    <x v="3"/>
    <x v="1"/>
  </r>
  <r>
    <s v="TX500577"/>
    <x v="10"/>
    <x v="0"/>
    <n v="26.6"/>
    <n v="26.6"/>
    <x v="24"/>
    <d v="2025-01-27T00:00:00"/>
    <x v="1"/>
    <x v="0"/>
    <x v="4"/>
    <x v="0"/>
    <x v="3"/>
    <x v="1"/>
    <x v="3"/>
    <x v="1"/>
  </r>
  <r>
    <s v="TX500578"/>
    <x v="12"/>
    <x v="12"/>
    <n v="51.2"/>
    <n v="204.8"/>
    <x v="24"/>
    <d v="2025-01-26T00:00:00"/>
    <x v="2"/>
    <x v="3"/>
    <x v="0"/>
    <x v="0"/>
    <x v="47"/>
    <x v="3"/>
    <x v="3"/>
    <x v="2"/>
  </r>
  <r>
    <s v="TX500579"/>
    <x v="0"/>
    <x v="9"/>
    <n v="10.6"/>
    <n v="53"/>
    <x v="24"/>
    <d v="2025-01-29T00:00:00"/>
    <x v="2"/>
    <x v="0"/>
    <x v="0"/>
    <x v="0"/>
    <x v="8"/>
    <x v="5"/>
    <x v="3"/>
    <x v="2"/>
  </r>
  <r>
    <s v="TX500580"/>
    <x v="6"/>
    <x v="2"/>
    <n v="43.4"/>
    <n v="130.19999999999999"/>
    <x v="24"/>
    <d v="2025-01-28T00:00:00"/>
    <x v="2"/>
    <x v="4"/>
    <x v="0"/>
    <x v="0"/>
    <x v="8"/>
    <x v="2"/>
    <x v="3"/>
    <x v="2"/>
  </r>
  <r>
    <s v="TX500581"/>
    <x v="12"/>
    <x v="0"/>
    <n v="80"/>
    <n v="80"/>
    <x v="24"/>
    <d v="2025-01-25T00:00:00"/>
    <x v="2"/>
    <x v="0"/>
    <x v="2"/>
    <x v="0"/>
    <x v="8"/>
    <x v="7"/>
    <x v="3"/>
    <x v="2"/>
  </r>
  <r>
    <s v="TX500582"/>
    <x v="10"/>
    <x v="12"/>
    <n v="64.7"/>
    <n v="258.8"/>
    <x v="24"/>
    <d v="2025-01-27T00:00:00"/>
    <x v="2"/>
    <x v="1"/>
    <x v="4"/>
    <x v="0"/>
    <x v="8"/>
    <x v="1"/>
    <x v="3"/>
    <x v="2"/>
  </r>
  <r>
    <s v="TX500583"/>
    <x v="8"/>
    <x v="5"/>
    <n v="26.3"/>
    <n v="289.3"/>
    <x v="25"/>
    <d v="2025-01-26T00:00:00"/>
    <x v="2"/>
    <x v="4"/>
    <x v="1"/>
    <x v="0"/>
    <x v="26"/>
    <x v="7"/>
    <x v="4"/>
    <x v="2"/>
  </r>
  <r>
    <s v="TX500584"/>
    <x v="10"/>
    <x v="0"/>
    <n v="28.5"/>
    <n v="28.5"/>
    <x v="25"/>
    <d v="2025-01-26T00:00:00"/>
    <x v="1"/>
    <x v="0"/>
    <x v="1"/>
    <x v="0"/>
    <x v="9"/>
    <x v="7"/>
    <x v="4"/>
    <x v="1"/>
  </r>
  <r>
    <s v="TX500585"/>
    <x v="17"/>
    <x v="0"/>
    <n v="47.8"/>
    <n v="47.8"/>
    <x v="25"/>
    <d v="2025-01-28T00:00:00"/>
    <x v="2"/>
    <x v="0"/>
    <x v="1"/>
    <x v="0"/>
    <x v="9"/>
    <x v="1"/>
    <x v="4"/>
    <x v="2"/>
  </r>
  <r>
    <s v="TX500586"/>
    <x v="10"/>
    <x v="2"/>
    <n v="42.8"/>
    <n v="128.39999999999998"/>
    <x v="25"/>
    <d v="2025-01-29T00:00:00"/>
    <x v="2"/>
    <x v="4"/>
    <x v="1"/>
    <x v="0"/>
    <x v="11"/>
    <x v="2"/>
    <x v="4"/>
    <x v="2"/>
  </r>
  <r>
    <s v="TX500587"/>
    <x v="6"/>
    <x v="9"/>
    <n v="46.8"/>
    <n v="234"/>
    <x v="25"/>
    <d v="2025-01-31T00:00:00"/>
    <x v="2"/>
    <x v="1"/>
    <x v="2"/>
    <x v="0"/>
    <x v="11"/>
    <x v="0"/>
    <x v="4"/>
    <x v="2"/>
  </r>
  <r>
    <s v="TX500588"/>
    <x v="1"/>
    <x v="7"/>
    <n v="64.099999999999994"/>
    <n v="641"/>
    <x v="25"/>
    <d v="2025-01-27T00:00:00"/>
    <x v="1"/>
    <x v="1"/>
    <x v="0"/>
    <x v="0"/>
    <x v="11"/>
    <x v="3"/>
    <x v="4"/>
    <x v="1"/>
  </r>
  <r>
    <s v="TX500589"/>
    <x v="2"/>
    <x v="0"/>
    <n v="89.1"/>
    <n v="89.1"/>
    <x v="25"/>
    <d v="2025-01-27T00:00:00"/>
    <x v="2"/>
    <x v="0"/>
    <x v="1"/>
    <x v="0"/>
    <x v="20"/>
    <x v="3"/>
    <x v="4"/>
    <x v="2"/>
  </r>
  <r>
    <s v="TX500590"/>
    <x v="2"/>
    <x v="2"/>
    <n v="83.1"/>
    <n v="249.29999999999998"/>
    <x v="25"/>
    <d v="2025-01-27T00:00:00"/>
    <x v="2"/>
    <x v="2"/>
    <x v="1"/>
    <x v="0"/>
    <x v="13"/>
    <x v="3"/>
    <x v="4"/>
    <x v="2"/>
  </r>
  <r>
    <s v="TX500591"/>
    <x v="8"/>
    <x v="2"/>
    <n v="40.9"/>
    <n v="122.69999999999999"/>
    <x v="25"/>
    <d v="2025-01-27T00:00:00"/>
    <x v="1"/>
    <x v="0"/>
    <x v="0"/>
    <x v="0"/>
    <x v="1"/>
    <x v="3"/>
    <x v="4"/>
    <x v="1"/>
  </r>
  <r>
    <s v="TX500592"/>
    <x v="2"/>
    <x v="1"/>
    <n v="125.7"/>
    <n v="251.4"/>
    <x v="25"/>
    <d v="2025-01-27T00:00:00"/>
    <x v="2"/>
    <x v="3"/>
    <x v="0"/>
    <x v="0"/>
    <x v="2"/>
    <x v="3"/>
    <x v="4"/>
    <x v="2"/>
  </r>
  <r>
    <s v="TX500593"/>
    <x v="3"/>
    <x v="1"/>
    <n v="30.9"/>
    <n v="61.8"/>
    <x v="25"/>
    <d v="2025-01-26T00:00:00"/>
    <x v="2"/>
    <x v="2"/>
    <x v="2"/>
    <x v="0"/>
    <x v="22"/>
    <x v="7"/>
    <x v="4"/>
    <x v="2"/>
  </r>
  <r>
    <s v="TX500594"/>
    <x v="8"/>
    <x v="1"/>
    <n v="18.3"/>
    <n v="36.6"/>
    <x v="25"/>
    <d v="2025-01-27T00:00:00"/>
    <x v="2"/>
    <x v="1"/>
    <x v="0"/>
    <x v="0"/>
    <x v="3"/>
    <x v="3"/>
    <x v="4"/>
    <x v="2"/>
  </r>
  <r>
    <s v="TX500595"/>
    <x v="4"/>
    <x v="1"/>
    <n v="56.5"/>
    <n v="113"/>
    <x v="25"/>
    <d v="2025-01-30T00:00:00"/>
    <x v="1"/>
    <x v="2"/>
    <x v="2"/>
    <x v="0"/>
    <x v="3"/>
    <x v="5"/>
    <x v="4"/>
    <x v="1"/>
  </r>
  <r>
    <s v="TX500596"/>
    <x v="10"/>
    <x v="3"/>
    <n v="29.9"/>
    <n v="209.29999999999998"/>
    <x v="25"/>
    <d v="2025-01-28T00:00:00"/>
    <x v="1"/>
    <x v="4"/>
    <x v="2"/>
    <x v="0"/>
    <x v="3"/>
    <x v="1"/>
    <x v="4"/>
    <x v="1"/>
  </r>
  <r>
    <s v="TX500597"/>
    <x v="5"/>
    <x v="1"/>
    <n v="50.4"/>
    <n v="100.8"/>
    <x v="25"/>
    <d v="2025-01-27T00:00:00"/>
    <x v="2"/>
    <x v="2"/>
    <x v="0"/>
    <x v="0"/>
    <x v="3"/>
    <x v="3"/>
    <x v="4"/>
    <x v="2"/>
  </r>
  <r>
    <s v="TX500598"/>
    <x v="2"/>
    <x v="0"/>
    <n v="85.8"/>
    <n v="85.8"/>
    <x v="25"/>
    <d v="2025-01-26T00:00:00"/>
    <x v="2"/>
    <x v="2"/>
    <x v="2"/>
    <x v="0"/>
    <x v="3"/>
    <x v="7"/>
    <x v="4"/>
    <x v="2"/>
  </r>
  <r>
    <s v="TX500599"/>
    <x v="4"/>
    <x v="27"/>
    <n v="66.599999999999994"/>
    <n v="1065.5999999999999"/>
    <x v="25"/>
    <d v="2025-01-28T00:00:00"/>
    <x v="1"/>
    <x v="1"/>
    <x v="0"/>
    <x v="0"/>
    <x v="3"/>
    <x v="1"/>
    <x v="4"/>
    <x v="1"/>
  </r>
  <r>
    <s v="TX500600"/>
    <x v="6"/>
    <x v="12"/>
    <n v="70.3"/>
    <n v="281.2"/>
    <x v="25"/>
    <d v="2025-01-27T00:00:00"/>
    <x v="2"/>
    <x v="0"/>
    <x v="1"/>
    <x v="0"/>
    <x v="3"/>
    <x v="3"/>
    <x v="4"/>
    <x v="2"/>
  </r>
  <r>
    <s v="TX500601"/>
    <x v="8"/>
    <x v="12"/>
    <n v="31"/>
    <n v="124"/>
    <x v="25"/>
    <d v="2025-01-29T00:00:00"/>
    <x v="1"/>
    <x v="0"/>
    <x v="2"/>
    <x v="0"/>
    <x v="3"/>
    <x v="2"/>
    <x v="4"/>
    <x v="1"/>
  </r>
  <r>
    <s v="TX500602"/>
    <x v="7"/>
    <x v="13"/>
    <n v="81.599999999999994"/>
    <n v="489.59999999999997"/>
    <x v="25"/>
    <d v="2025-01-27T00:00:00"/>
    <x v="2"/>
    <x v="1"/>
    <x v="1"/>
    <x v="0"/>
    <x v="37"/>
    <x v="3"/>
    <x v="4"/>
    <x v="2"/>
  </r>
  <r>
    <s v="TX500603"/>
    <x v="1"/>
    <x v="30"/>
    <n v="58.3"/>
    <n v="1457.5"/>
    <x v="25"/>
    <d v="2025-01-27T00:00:00"/>
    <x v="2"/>
    <x v="0"/>
    <x v="0"/>
    <x v="0"/>
    <x v="16"/>
    <x v="3"/>
    <x v="4"/>
    <x v="2"/>
  </r>
  <r>
    <s v="TX500604"/>
    <x v="1"/>
    <x v="12"/>
    <n v="35.1"/>
    <n v="140.4"/>
    <x v="25"/>
    <d v="2025-01-28T00:00:00"/>
    <x v="1"/>
    <x v="0"/>
    <x v="2"/>
    <x v="0"/>
    <x v="8"/>
    <x v="1"/>
    <x v="4"/>
    <x v="1"/>
  </r>
  <r>
    <s v="TX500605"/>
    <x v="2"/>
    <x v="0"/>
    <n v="80.2"/>
    <n v="80.2"/>
    <x v="25"/>
    <d v="2025-01-27T00:00:00"/>
    <x v="1"/>
    <x v="3"/>
    <x v="2"/>
    <x v="0"/>
    <x v="8"/>
    <x v="3"/>
    <x v="4"/>
    <x v="1"/>
  </r>
  <r>
    <s v="TX500606"/>
    <x v="14"/>
    <x v="2"/>
    <n v="39.200000000000003"/>
    <n v="117.60000000000001"/>
    <x v="25"/>
    <d v="2025-01-28T00:00:00"/>
    <x v="2"/>
    <x v="1"/>
    <x v="0"/>
    <x v="0"/>
    <x v="9"/>
    <x v="1"/>
    <x v="4"/>
    <x v="2"/>
  </r>
  <r>
    <s v="TX500607"/>
    <x v="0"/>
    <x v="1"/>
    <n v="15.4"/>
    <n v="30.8"/>
    <x v="25"/>
    <d v="2025-01-26T00:00:00"/>
    <x v="2"/>
    <x v="3"/>
    <x v="0"/>
    <x v="0"/>
    <x v="48"/>
    <x v="7"/>
    <x v="4"/>
    <x v="2"/>
  </r>
  <r>
    <s v="TX500608"/>
    <x v="3"/>
    <x v="2"/>
    <n v="65.400000000000006"/>
    <n v="196.20000000000002"/>
    <x v="25"/>
    <d v="2025-01-29T00:00:00"/>
    <x v="1"/>
    <x v="3"/>
    <x v="0"/>
    <x v="0"/>
    <x v="18"/>
    <x v="2"/>
    <x v="4"/>
    <x v="1"/>
  </r>
  <r>
    <s v="TX500609"/>
    <x v="1"/>
    <x v="8"/>
    <n v="63.2"/>
    <n v="505.6"/>
    <x v="25"/>
    <d v="2025-01-28T00:00:00"/>
    <x v="2"/>
    <x v="1"/>
    <x v="0"/>
    <x v="0"/>
    <x v="19"/>
    <x v="1"/>
    <x v="4"/>
    <x v="2"/>
  </r>
  <r>
    <s v="TX500610"/>
    <x v="1"/>
    <x v="13"/>
    <n v="35.700000000000003"/>
    <n v="214.20000000000002"/>
    <x v="25"/>
    <d v="2025-01-30T00:00:00"/>
    <x v="2"/>
    <x v="4"/>
    <x v="1"/>
    <x v="0"/>
    <x v="19"/>
    <x v="5"/>
    <x v="4"/>
    <x v="2"/>
  </r>
  <r>
    <s v="TX500611"/>
    <x v="0"/>
    <x v="28"/>
    <n v="26.2"/>
    <n v="524"/>
    <x v="25"/>
    <d v="2025-01-27T00:00:00"/>
    <x v="2"/>
    <x v="3"/>
    <x v="0"/>
    <x v="0"/>
    <x v="21"/>
    <x v="3"/>
    <x v="4"/>
    <x v="2"/>
  </r>
  <r>
    <s v="TX500612"/>
    <x v="7"/>
    <x v="1"/>
    <n v="31"/>
    <n v="62"/>
    <x v="25"/>
    <d v="2025-01-27T00:00:00"/>
    <x v="2"/>
    <x v="0"/>
    <x v="2"/>
    <x v="0"/>
    <x v="1"/>
    <x v="3"/>
    <x v="4"/>
    <x v="2"/>
  </r>
  <r>
    <s v="TX500613"/>
    <x v="8"/>
    <x v="12"/>
    <n v="37.700000000000003"/>
    <n v="150.80000000000001"/>
    <x v="25"/>
    <d v="2025-01-27T00:00:00"/>
    <x v="2"/>
    <x v="1"/>
    <x v="0"/>
    <x v="0"/>
    <x v="22"/>
    <x v="3"/>
    <x v="4"/>
    <x v="2"/>
  </r>
  <r>
    <s v="TX500614"/>
    <x v="10"/>
    <x v="33"/>
    <n v="43.6"/>
    <n v="1482.4"/>
    <x v="25"/>
    <d v="2025-01-28T00:00:00"/>
    <x v="2"/>
    <x v="4"/>
    <x v="1"/>
    <x v="0"/>
    <x v="3"/>
    <x v="1"/>
    <x v="4"/>
    <x v="2"/>
  </r>
  <r>
    <s v="TX500615"/>
    <x v="9"/>
    <x v="12"/>
    <n v="26.5"/>
    <n v="106"/>
    <x v="25"/>
    <d v="2025-01-28T00:00:00"/>
    <x v="1"/>
    <x v="0"/>
    <x v="4"/>
    <x v="0"/>
    <x v="3"/>
    <x v="1"/>
    <x v="4"/>
    <x v="1"/>
  </r>
  <r>
    <s v="TX500616"/>
    <x v="0"/>
    <x v="1"/>
    <n v="34.6"/>
    <n v="69.2"/>
    <x v="25"/>
    <d v="2025-01-27T00:00:00"/>
    <x v="1"/>
    <x v="4"/>
    <x v="1"/>
    <x v="0"/>
    <x v="3"/>
    <x v="3"/>
    <x v="4"/>
    <x v="1"/>
  </r>
  <r>
    <s v="TX500617"/>
    <x v="8"/>
    <x v="1"/>
    <n v="58.2"/>
    <n v="116.4"/>
    <x v="25"/>
    <d v="2025-01-27T00:00:00"/>
    <x v="1"/>
    <x v="2"/>
    <x v="2"/>
    <x v="0"/>
    <x v="3"/>
    <x v="3"/>
    <x v="4"/>
    <x v="1"/>
  </r>
  <r>
    <s v="TX500618"/>
    <x v="7"/>
    <x v="0"/>
    <n v="30.2"/>
    <n v="30.2"/>
    <x v="26"/>
    <d v="2025-01-28T00:00:00"/>
    <x v="2"/>
    <x v="2"/>
    <x v="1"/>
    <x v="0"/>
    <x v="3"/>
    <x v="3"/>
    <x v="4"/>
    <x v="2"/>
  </r>
  <r>
    <s v="TX500619"/>
    <x v="1"/>
    <x v="7"/>
    <n v="53.2"/>
    <n v="532"/>
    <x v="26"/>
    <d v="2025-01-28T00:00:00"/>
    <x v="1"/>
    <x v="0"/>
    <x v="2"/>
    <x v="0"/>
    <x v="5"/>
    <x v="3"/>
    <x v="4"/>
    <x v="1"/>
  </r>
  <r>
    <s v="TX500620"/>
    <x v="12"/>
    <x v="13"/>
    <n v="51.1"/>
    <n v="306.60000000000002"/>
    <x v="26"/>
    <d v="2025-01-27T00:00:00"/>
    <x v="1"/>
    <x v="1"/>
    <x v="2"/>
    <x v="0"/>
    <x v="5"/>
    <x v="7"/>
    <x v="4"/>
    <x v="1"/>
  </r>
  <r>
    <s v="TX500621"/>
    <x v="1"/>
    <x v="0"/>
    <n v="105.4"/>
    <n v="105.4"/>
    <x v="26"/>
    <d v="2025-01-31T00:00:00"/>
    <x v="2"/>
    <x v="1"/>
    <x v="2"/>
    <x v="0"/>
    <x v="23"/>
    <x v="5"/>
    <x v="4"/>
    <x v="2"/>
  </r>
  <r>
    <s v="TX500622"/>
    <x v="7"/>
    <x v="0"/>
    <n v="57.7"/>
    <n v="57.7"/>
    <x v="26"/>
    <d v="2025-01-27T00:00:00"/>
    <x v="1"/>
    <x v="0"/>
    <x v="4"/>
    <x v="0"/>
    <x v="8"/>
    <x v="7"/>
    <x v="4"/>
    <x v="1"/>
  </r>
  <r>
    <s v="TX500623"/>
    <x v="15"/>
    <x v="1"/>
    <n v="72.400000000000006"/>
    <n v="144.80000000000001"/>
    <x v="26"/>
    <d v="2025-02-01T00:00:00"/>
    <x v="2"/>
    <x v="0"/>
    <x v="0"/>
    <x v="0"/>
    <x v="17"/>
    <x v="0"/>
    <x v="4"/>
    <x v="2"/>
  </r>
  <r>
    <s v="TX500624"/>
    <x v="6"/>
    <x v="1"/>
    <n v="62.5"/>
    <n v="125"/>
    <x v="26"/>
    <d v="2025-01-28T00:00:00"/>
    <x v="0"/>
    <x v="0"/>
    <x v="2"/>
    <x v="0"/>
    <x v="11"/>
    <x v="3"/>
    <x v="4"/>
    <x v="0"/>
  </r>
  <r>
    <s v="TX500625"/>
    <x v="0"/>
    <x v="32"/>
    <n v="11.6"/>
    <n v="255.2"/>
    <x v="26"/>
    <d v="2025-01-29T00:00:00"/>
    <x v="2"/>
    <x v="3"/>
    <x v="2"/>
    <x v="0"/>
    <x v="18"/>
    <x v="1"/>
    <x v="4"/>
    <x v="2"/>
  </r>
  <r>
    <s v="TX500626"/>
    <x v="10"/>
    <x v="7"/>
    <n v="39.6"/>
    <n v="396"/>
    <x v="26"/>
    <d v="2025-01-29T00:00:00"/>
    <x v="2"/>
    <x v="2"/>
    <x v="2"/>
    <x v="0"/>
    <x v="18"/>
    <x v="1"/>
    <x v="4"/>
    <x v="2"/>
  </r>
  <r>
    <s v="TX500627"/>
    <x v="8"/>
    <x v="1"/>
    <n v="40.1"/>
    <n v="80.2"/>
    <x v="26"/>
    <d v="2025-01-28T00:00:00"/>
    <x v="2"/>
    <x v="2"/>
    <x v="0"/>
    <x v="0"/>
    <x v="18"/>
    <x v="3"/>
    <x v="4"/>
    <x v="2"/>
  </r>
  <r>
    <s v="TX500628"/>
    <x v="8"/>
    <x v="2"/>
    <n v="18.600000000000001"/>
    <n v="55.800000000000004"/>
    <x v="26"/>
    <d v="2025-01-28T00:00:00"/>
    <x v="2"/>
    <x v="2"/>
    <x v="0"/>
    <x v="0"/>
    <x v="21"/>
    <x v="3"/>
    <x v="4"/>
    <x v="2"/>
  </r>
  <r>
    <s v="TX500629"/>
    <x v="4"/>
    <x v="0"/>
    <n v="58.8"/>
    <n v="58.8"/>
    <x v="26"/>
    <d v="2025-01-29T00:00:00"/>
    <x v="2"/>
    <x v="0"/>
    <x v="1"/>
    <x v="0"/>
    <x v="21"/>
    <x v="1"/>
    <x v="4"/>
    <x v="2"/>
  </r>
  <r>
    <s v="TX500630"/>
    <x v="8"/>
    <x v="1"/>
    <n v="22.1"/>
    <n v="44.2"/>
    <x v="26"/>
    <d v="2025-01-30T00:00:00"/>
    <x v="1"/>
    <x v="1"/>
    <x v="2"/>
    <x v="0"/>
    <x v="21"/>
    <x v="2"/>
    <x v="4"/>
    <x v="1"/>
  </r>
  <r>
    <s v="TX500631"/>
    <x v="2"/>
    <x v="0"/>
    <n v="114.9"/>
    <n v="114.9"/>
    <x v="27"/>
    <d v="2025-01-29T00:00:00"/>
    <x v="2"/>
    <x v="1"/>
    <x v="1"/>
    <x v="0"/>
    <x v="22"/>
    <x v="3"/>
    <x v="4"/>
    <x v="2"/>
  </r>
  <r>
    <s v="TX500632"/>
    <x v="9"/>
    <x v="9"/>
    <n v="75.8"/>
    <n v="379"/>
    <x v="27"/>
    <d v="2025-01-29T00:00:00"/>
    <x v="1"/>
    <x v="0"/>
    <x v="2"/>
    <x v="0"/>
    <x v="3"/>
    <x v="3"/>
    <x v="4"/>
    <x v="1"/>
  </r>
  <r>
    <s v="TX500633"/>
    <x v="14"/>
    <x v="9"/>
    <n v="20.6"/>
    <n v="103"/>
    <x v="27"/>
    <d v="2025-01-29T00:00:00"/>
    <x v="1"/>
    <x v="2"/>
    <x v="2"/>
    <x v="0"/>
    <x v="3"/>
    <x v="3"/>
    <x v="4"/>
    <x v="1"/>
  </r>
  <r>
    <s v="TX500634"/>
    <x v="17"/>
    <x v="2"/>
    <n v="67.900000000000006"/>
    <n v="203.70000000000002"/>
    <x v="27"/>
    <d v="2025-01-29T00:00:00"/>
    <x v="2"/>
    <x v="1"/>
    <x v="1"/>
    <x v="0"/>
    <x v="3"/>
    <x v="3"/>
    <x v="4"/>
    <x v="2"/>
  </r>
  <r>
    <s v="TX500635"/>
    <x v="0"/>
    <x v="9"/>
    <n v="27"/>
    <n v="135"/>
    <x v="27"/>
    <d v="2025-02-04T00:00:00"/>
    <x v="2"/>
    <x v="0"/>
    <x v="2"/>
    <x v="0"/>
    <x v="3"/>
    <x v="6"/>
    <x v="4"/>
    <x v="2"/>
  </r>
  <r>
    <s v="TX500636"/>
    <x v="13"/>
    <x v="0"/>
    <n v="50.6"/>
    <n v="50.6"/>
    <x v="27"/>
    <d v="2025-01-28T00:00:00"/>
    <x v="1"/>
    <x v="0"/>
    <x v="1"/>
    <x v="0"/>
    <x v="3"/>
    <x v="7"/>
    <x v="4"/>
    <x v="1"/>
  </r>
  <r>
    <s v="TX500637"/>
    <x v="4"/>
    <x v="9"/>
    <n v="22.1"/>
    <n v="110.5"/>
    <x v="27"/>
    <d v="2025-02-02T00:00:00"/>
    <x v="1"/>
    <x v="0"/>
    <x v="0"/>
    <x v="0"/>
    <x v="3"/>
    <x v="0"/>
    <x v="4"/>
    <x v="1"/>
  </r>
  <r>
    <s v="TX500638"/>
    <x v="8"/>
    <x v="2"/>
    <n v="42.9"/>
    <n v="128.69999999999999"/>
    <x v="27"/>
    <d v="2025-01-30T00:00:00"/>
    <x v="2"/>
    <x v="0"/>
    <x v="0"/>
    <x v="0"/>
    <x v="3"/>
    <x v="1"/>
    <x v="4"/>
    <x v="2"/>
  </r>
  <r>
    <s v="TX500639"/>
    <x v="1"/>
    <x v="5"/>
    <n v="62.4"/>
    <n v="686.4"/>
    <x v="27"/>
    <d v="2025-01-30T00:00:00"/>
    <x v="2"/>
    <x v="2"/>
    <x v="0"/>
    <x v="0"/>
    <x v="3"/>
    <x v="1"/>
    <x v="4"/>
    <x v="2"/>
  </r>
  <r>
    <s v="TX500640"/>
    <x v="13"/>
    <x v="11"/>
    <n v="36.4"/>
    <n v="327.59999999999997"/>
    <x v="27"/>
    <d v="2025-01-30T00:00:00"/>
    <x v="2"/>
    <x v="0"/>
    <x v="2"/>
    <x v="0"/>
    <x v="3"/>
    <x v="1"/>
    <x v="4"/>
    <x v="2"/>
  </r>
  <r>
    <s v="TX500641"/>
    <x v="0"/>
    <x v="1"/>
    <n v="22.5"/>
    <n v="45"/>
    <x v="27"/>
    <d v="2025-01-31T00:00:00"/>
    <x v="1"/>
    <x v="0"/>
    <x v="0"/>
    <x v="0"/>
    <x v="3"/>
    <x v="2"/>
    <x v="4"/>
    <x v="1"/>
  </r>
  <r>
    <s v="TX500642"/>
    <x v="6"/>
    <x v="12"/>
    <n v="70.8"/>
    <n v="283.2"/>
    <x v="27"/>
    <d v="2025-01-30T00:00:00"/>
    <x v="2"/>
    <x v="4"/>
    <x v="0"/>
    <x v="0"/>
    <x v="3"/>
    <x v="1"/>
    <x v="4"/>
    <x v="2"/>
  </r>
  <r>
    <s v="TX500643"/>
    <x v="6"/>
    <x v="9"/>
    <n v="56.6"/>
    <n v="283"/>
    <x v="27"/>
    <d v="2025-01-30T00:00:00"/>
    <x v="1"/>
    <x v="0"/>
    <x v="1"/>
    <x v="0"/>
    <x v="4"/>
    <x v="1"/>
    <x v="4"/>
    <x v="1"/>
  </r>
  <r>
    <s v="TX500644"/>
    <x v="6"/>
    <x v="1"/>
    <n v="47.9"/>
    <n v="95.8"/>
    <x v="27"/>
    <d v="2025-01-29T00:00:00"/>
    <x v="2"/>
    <x v="0"/>
    <x v="0"/>
    <x v="0"/>
    <x v="6"/>
    <x v="3"/>
    <x v="4"/>
    <x v="2"/>
  </r>
  <r>
    <s v="TX500645"/>
    <x v="6"/>
    <x v="8"/>
    <n v="78.400000000000006"/>
    <n v="627.20000000000005"/>
    <x v="27"/>
    <d v="2025-01-30T00:00:00"/>
    <x v="2"/>
    <x v="1"/>
    <x v="0"/>
    <x v="0"/>
    <x v="6"/>
    <x v="1"/>
    <x v="4"/>
    <x v="2"/>
  </r>
  <r>
    <s v="TX500646"/>
    <x v="2"/>
    <x v="21"/>
    <n v="122.1"/>
    <n v="1709.3999999999999"/>
    <x v="27"/>
    <d v="2025-02-02T00:00:00"/>
    <x v="2"/>
    <x v="0"/>
    <x v="2"/>
    <x v="0"/>
    <x v="6"/>
    <x v="0"/>
    <x v="4"/>
    <x v="2"/>
  </r>
  <r>
    <s v="TX500647"/>
    <x v="2"/>
    <x v="1"/>
    <n v="83.7"/>
    <n v="167.4"/>
    <x v="28"/>
    <d v="2025-01-29T00:00:00"/>
    <x v="0"/>
    <x v="1"/>
    <x v="2"/>
    <x v="0"/>
    <x v="7"/>
    <x v="7"/>
    <x v="4"/>
    <x v="0"/>
  </r>
  <r>
    <s v="TX500648"/>
    <x v="3"/>
    <x v="12"/>
    <n v="97.9"/>
    <n v="391.6"/>
    <x v="28"/>
    <d v="2025-02-02T00:00:00"/>
    <x v="2"/>
    <x v="3"/>
    <x v="2"/>
    <x v="0"/>
    <x v="7"/>
    <x v="5"/>
    <x v="4"/>
    <x v="2"/>
  </r>
  <r>
    <s v="TX500649"/>
    <x v="14"/>
    <x v="0"/>
    <n v="15"/>
    <n v="15"/>
    <x v="28"/>
    <d v="2025-02-03T00:00:00"/>
    <x v="2"/>
    <x v="3"/>
    <x v="0"/>
    <x v="0"/>
    <x v="8"/>
    <x v="0"/>
    <x v="4"/>
    <x v="2"/>
  </r>
  <r>
    <s v="TX500650"/>
    <x v="12"/>
    <x v="2"/>
    <n v="94.6"/>
    <n v="283.79999999999995"/>
    <x v="28"/>
    <d v="2025-01-30T00:00:00"/>
    <x v="1"/>
    <x v="2"/>
    <x v="1"/>
    <x v="0"/>
    <x v="8"/>
    <x v="3"/>
    <x v="4"/>
    <x v="1"/>
  </r>
  <r>
    <s v="TX500651"/>
    <x v="0"/>
    <x v="13"/>
    <n v="19.7"/>
    <n v="118.19999999999999"/>
    <x v="28"/>
    <d v="2025-02-09T00:00:00"/>
    <x v="2"/>
    <x v="0"/>
    <x v="2"/>
    <x v="0"/>
    <x v="8"/>
    <x v="11"/>
    <x v="4"/>
    <x v="2"/>
  </r>
  <r>
    <s v="TX500652"/>
    <x v="7"/>
    <x v="0"/>
    <n v="46.7"/>
    <n v="46.7"/>
    <x v="28"/>
    <d v="2025-02-01T00:00:00"/>
    <x v="2"/>
    <x v="2"/>
    <x v="0"/>
    <x v="0"/>
    <x v="17"/>
    <x v="2"/>
    <x v="4"/>
    <x v="2"/>
  </r>
  <r>
    <s v="TX500653"/>
    <x v="1"/>
    <x v="12"/>
    <n v="43"/>
    <n v="172"/>
    <x v="28"/>
    <d v="2025-01-30T00:00:00"/>
    <x v="1"/>
    <x v="2"/>
    <x v="2"/>
    <x v="0"/>
    <x v="17"/>
    <x v="3"/>
    <x v="4"/>
    <x v="1"/>
  </r>
  <r>
    <s v="TX500654"/>
    <x v="6"/>
    <x v="2"/>
    <n v="68.2"/>
    <n v="204.60000000000002"/>
    <x v="28"/>
    <d v="2025-02-04T00:00:00"/>
    <x v="2"/>
    <x v="0"/>
    <x v="0"/>
    <x v="0"/>
    <x v="9"/>
    <x v="4"/>
    <x v="4"/>
    <x v="2"/>
  </r>
  <r>
    <s v="TX500655"/>
    <x v="10"/>
    <x v="7"/>
    <n v="24.3"/>
    <n v="243"/>
    <x v="28"/>
    <d v="2025-01-30T00:00:00"/>
    <x v="1"/>
    <x v="0"/>
    <x v="2"/>
    <x v="0"/>
    <x v="10"/>
    <x v="3"/>
    <x v="4"/>
    <x v="1"/>
  </r>
  <r>
    <s v="TX500656"/>
    <x v="7"/>
    <x v="1"/>
    <n v="86.8"/>
    <n v="173.6"/>
    <x v="28"/>
    <d v="2025-02-02T00:00:00"/>
    <x v="2"/>
    <x v="4"/>
    <x v="2"/>
    <x v="0"/>
    <x v="11"/>
    <x v="5"/>
    <x v="4"/>
    <x v="2"/>
  </r>
  <r>
    <s v="TX500657"/>
    <x v="0"/>
    <x v="1"/>
    <n v="15.8"/>
    <n v="31.6"/>
    <x v="28"/>
    <d v="2025-01-31T00:00:00"/>
    <x v="1"/>
    <x v="1"/>
    <x v="0"/>
    <x v="0"/>
    <x v="11"/>
    <x v="1"/>
    <x v="4"/>
    <x v="1"/>
  </r>
  <r>
    <s v="TX500658"/>
    <x v="2"/>
    <x v="12"/>
    <n v="61.6"/>
    <n v="246.4"/>
    <x v="28"/>
    <d v="2025-01-30T00:00:00"/>
    <x v="1"/>
    <x v="2"/>
    <x v="0"/>
    <x v="0"/>
    <x v="11"/>
    <x v="3"/>
    <x v="4"/>
    <x v="1"/>
  </r>
  <r>
    <s v="TX500659"/>
    <x v="6"/>
    <x v="2"/>
    <n v="48.7"/>
    <n v="146.10000000000002"/>
    <x v="28"/>
    <d v="2025-02-04T00:00:00"/>
    <x v="2"/>
    <x v="1"/>
    <x v="2"/>
    <x v="0"/>
    <x v="45"/>
    <x v="4"/>
    <x v="4"/>
    <x v="2"/>
  </r>
  <r>
    <s v="TX500660"/>
    <x v="8"/>
    <x v="12"/>
    <n v="24.3"/>
    <n v="97.2"/>
    <x v="28"/>
    <d v="2025-01-31T00:00:00"/>
    <x v="2"/>
    <x v="1"/>
    <x v="2"/>
    <x v="0"/>
    <x v="21"/>
    <x v="1"/>
    <x v="4"/>
    <x v="2"/>
  </r>
  <r>
    <s v="TX500661"/>
    <x v="2"/>
    <x v="1"/>
    <n v="130.69999999999999"/>
    <n v="261.39999999999998"/>
    <x v="28"/>
    <d v="2025-01-30T00:00:00"/>
    <x v="2"/>
    <x v="2"/>
    <x v="0"/>
    <x v="0"/>
    <x v="44"/>
    <x v="3"/>
    <x v="4"/>
    <x v="2"/>
  </r>
  <r>
    <s v="TX500662"/>
    <x v="10"/>
    <x v="0"/>
    <n v="26"/>
    <n v="26"/>
    <x v="28"/>
    <d v="2025-01-31T00:00:00"/>
    <x v="1"/>
    <x v="0"/>
    <x v="0"/>
    <x v="0"/>
    <x v="3"/>
    <x v="1"/>
    <x v="4"/>
    <x v="1"/>
  </r>
  <r>
    <s v="TX500663"/>
    <x v="2"/>
    <x v="9"/>
    <n v="94.4"/>
    <n v="472"/>
    <x v="28"/>
    <d v="2025-01-30T00:00:00"/>
    <x v="2"/>
    <x v="0"/>
    <x v="0"/>
    <x v="0"/>
    <x v="3"/>
    <x v="3"/>
    <x v="4"/>
    <x v="2"/>
  </r>
  <r>
    <s v="TX500664"/>
    <x v="0"/>
    <x v="13"/>
    <n v="23.7"/>
    <n v="142.19999999999999"/>
    <x v="28"/>
    <d v="2025-01-31T00:00:00"/>
    <x v="1"/>
    <x v="2"/>
    <x v="2"/>
    <x v="0"/>
    <x v="3"/>
    <x v="1"/>
    <x v="4"/>
    <x v="1"/>
  </r>
  <r>
    <s v="TX500665"/>
    <x v="9"/>
    <x v="4"/>
    <n v="37.4"/>
    <n v="448.79999999999995"/>
    <x v="28"/>
    <d v="2025-01-31T00:00:00"/>
    <x v="1"/>
    <x v="2"/>
    <x v="0"/>
    <x v="0"/>
    <x v="3"/>
    <x v="1"/>
    <x v="4"/>
    <x v="1"/>
  </r>
  <r>
    <s v="TX500666"/>
    <x v="1"/>
    <x v="34"/>
    <n v="55.2"/>
    <n v="1987.2"/>
    <x v="28"/>
    <d v="2025-01-29T00:00:00"/>
    <x v="2"/>
    <x v="3"/>
    <x v="1"/>
    <x v="0"/>
    <x v="3"/>
    <x v="7"/>
    <x v="4"/>
    <x v="2"/>
  </r>
  <r>
    <s v="TX500667"/>
    <x v="2"/>
    <x v="11"/>
    <n v="57.1"/>
    <n v="513.9"/>
    <x v="28"/>
    <d v="2025-01-31T00:00:00"/>
    <x v="1"/>
    <x v="0"/>
    <x v="2"/>
    <x v="0"/>
    <x v="3"/>
    <x v="1"/>
    <x v="4"/>
    <x v="1"/>
  </r>
  <r>
    <s v="TX500668"/>
    <x v="12"/>
    <x v="0"/>
    <n v="55.3"/>
    <n v="55.3"/>
    <x v="28"/>
    <d v="2025-01-30T00:00:00"/>
    <x v="2"/>
    <x v="2"/>
    <x v="2"/>
    <x v="0"/>
    <x v="3"/>
    <x v="3"/>
    <x v="4"/>
    <x v="2"/>
  </r>
  <r>
    <s v="TX500669"/>
    <x v="15"/>
    <x v="3"/>
    <n v="23.9"/>
    <n v="167.29999999999998"/>
    <x v="28"/>
    <d v="2025-01-30T00:00:00"/>
    <x v="2"/>
    <x v="4"/>
    <x v="1"/>
    <x v="0"/>
    <x v="3"/>
    <x v="3"/>
    <x v="4"/>
    <x v="2"/>
  </r>
  <r>
    <s v="TX500670"/>
    <x v="0"/>
    <x v="0"/>
    <n v="34.1"/>
    <n v="34.1"/>
    <x v="28"/>
    <d v="2025-02-05T00:00:00"/>
    <x v="2"/>
    <x v="2"/>
    <x v="0"/>
    <x v="0"/>
    <x v="3"/>
    <x v="6"/>
    <x v="4"/>
    <x v="2"/>
  </r>
  <r>
    <s v="TX500671"/>
    <x v="12"/>
    <x v="12"/>
    <n v="38.5"/>
    <n v="154"/>
    <x v="28"/>
    <d v="2025-02-09T00:00:00"/>
    <x v="2"/>
    <x v="0"/>
    <x v="0"/>
    <x v="0"/>
    <x v="3"/>
    <x v="11"/>
    <x v="4"/>
    <x v="2"/>
  </r>
  <r>
    <s v="TX500672"/>
    <x v="7"/>
    <x v="1"/>
    <n v="105"/>
    <n v="210"/>
    <x v="28"/>
    <d v="2025-02-04T00:00:00"/>
    <x v="2"/>
    <x v="0"/>
    <x v="2"/>
    <x v="0"/>
    <x v="3"/>
    <x v="4"/>
    <x v="4"/>
    <x v="2"/>
  </r>
  <r>
    <s v="TX500673"/>
    <x v="8"/>
    <x v="9"/>
    <n v="45.2"/>
    <n v="226"/>
    <x v="28"/>
    <d v="2025-01-31T00:00:00"/>
    <x v="2"/>
    <x v="0"/>
    <x v="2"/>
    <x v="0"/>
    <x v="3"/>
    <x v="1"/>
    <x v="4"/>
    <x v="2"/>
  </r>
  <r>
    <s v="TX500674"/>
    <x v="17"/>
    <x v="2"/>
    <n v="24.8"/>
    <n v="74.400000000000006"/>
    <x v="28"/>
    <d v="2025-01-29T00:00:00"/>
    <x v="0"/>
    <x v="0"/>
    <x v="1"/>
    <x v="0"/>
    <x v="3"/>
    <x v="7"/>
    <x v="4"/>
    <x v="0"/>
  </r>
  <r>
    <s v="TX500675"/>
    <x v="11"/>
    <x v="12"/>
    <n v="43.8"/>
    <n v="175.2"/>
    <x v="28"/>
    <d v="2025-02-05T00:00:00"/>
    <x v="2"/>
    <x v="1"/>
    <x v="2"/>
    <x v="0"/>
    <x v="6"/>
    <x v="6"/>
    <x v="4"/>
    <x v="2"/>
  </r>
  <r>
    <s v="TX500676"/>
    <x v="1"/>
    <x v="0"/>
    <n v="75"/>
    <n v="75"/>
    <x v="28"/>
    <d v="2025-01-31T00:00:00"/>
    <x v="2"/>
    <x v="4"/>
    <x v="1"/>
    <x v="0"/>
    <x v="6"/>
    <x v="1"/>
    <x v="4"/>
    <x v="2"/>
  </r>
  <r>
    <s v="TX500677"/>
    <x v="2"/>
    <x v="0"/>
    <n v="169.9"/>
    <n v="169.9"/>
    <x v="28"/>
    <d v="2025-01-30T00:00:00"/>
    <x v="1"/>
    <x v="2"/>
    <x v="0"/>
    <x v="0"/>
    <x v="6"/>
    <x v="3"/>
    <x v="4"/>
    <x v="1"/>
  </r>
  <r>
    <s v="TX500678"/>
    <x v="9"/>
    <x v="1"/>
    <n v="72.2"/>
    <n v="144.4"/>
    <x v="28"/>
    <d v="2025-01-31T00:00:00"/>
    <x v="2"/>
    <x v="4"/>
    <x v="1"/>
    <x v="0"/>
    <x v="6"/>
    <x v="1"/>
    <x v="4"/>
    <x v="2"/>
  </r>
  <r>
    <s v="TX500679"/>
    <x v="0"/>
    <x v="0"/>
    <n v="20"/>
    <n v="20"/>
    <x v="29"/>
    <d v="2025-02-02T00:00:00"/>
    <x v="2"/>
    <x v="2"/>
    <x v="1"/>
    <x v="0"/>
    <x v="7"/>
    <x v="2"/>
    <x v="4"/>
    <x v="2"/>
  </r>
  <r>
    <s v="TX500680"/>
    <x v="9"/>
    <x v="1"/>
    <n v="40.799999999999997"/>
    <n v="81.599999999999994"/>
    <x v="29"/>
    <d v="2025-02-01T00:00:00"/>
    <x v="2"/>
    <x v="3"/>
    <x v="2"/>
    <x v="0"/>
    <x v="8"/>
    <x v="1"/>
    <x v="4"/>
    <x v="2"/>
  </r>
  <r>
    <s v="TX500681"/>
    <x v="10"/>
    <x v="12"/>
    <n v="58"/>
    <n v="232"/>
    <x v="29"/>
    <d v="2025-02-03T00:00:00"/>
    <x v="2"/>
    <x v="0"/>
    <x v="0"/>
    <x v="0"/>
    <x v="8"/>
    <x v="5"/>
    <x v="4"/>
    <x v="2"/>
  </r>
  <r>
    <s v="TX500682"/>
    <x v="12"/>
    <x v="1"/>
    <n v="43.1"/>
    <n v="86.2"/>
    <x v="29"/>
    <d v="2025-01-31T00:00:00"/>
    <x v="2"/>
    <x v="1"/>
    <x v="2"/>
    <x v="0"/>
    <x v="8"/>
    <x v="3"/>
    <x v="4"/>
    <x v="2"/>
  </r>
  <r>
    <s v="TX500683"/>
    <x v="6"/>
    <x v="11"/>
    <n v="74.7"/>
    <n v="672.30000000000007"/>
    <x v="29"/>
    <d v="2025-02-01T00:00:00"/>
    <x v="1"/>
    <x v="0"/>
    <x v="2"/>
    <x v="0"/>
    <x v="8"/>
    <x v="1"/>
    <x v="4"/>
    <x v="1"/>
  </r>
  <r>
    <s v="TX500684"/>
    <x v="6"/>
    <x v="0"/>
    <n v="128.19999999999999"/>
    <n v="128.19999999999999"/>
    <x v="29"/>
    <d v="2025-01-30T00:00:00"/>
    <x v="1"/>
    <x v="1"/>
    <x v="0"/>
    <x v="0"/>
    <x v="8"/>
    <x v="7"/>
    <x v="4"/>
    <x v="1"/>
  </r>
  <r>
    <s v="TX500685"/>
    <x v="14"/>
    <x v="12"/>
    <n v="26.7"/>
    <n v="106.8"/>
    <x v="29"/>
    <d v="2025-01-31T00:00:00"/>
    <x v="1"/>
    <x v="1"/>
    <x v="0"/>
    <x v="0"/>
    <x v="8"/>
    <x v="3"/>
    <x v="4"/>
    <x v="1"/>
  </r>
  <r>
    <s v="TX500686"/>
    <x v="17"/>
    <x v="13"/>
    <n v="31.5"/>
    <n v="189"/>
    <x v="29"/>
    <d v="2025-01-31T00:00:00"/>
    <x v="2"/>
    <x v="2"/>
    <x v="0"/>
    <x v="0"/>
    <x v="17"/>
    <x v="3"/>
    <x v="4"/>
    <x v="2"/>
  </r>
  <r>
    <s v="TX500687"/>
    <x v="3"/>
    <x v="3"/>
    <n v="64.7"/>
    <n v="452.90000000000003"/>
    <x v="29"/>
    <d v="2025-01-31T00:00:00"/>
    <x v="2"/>
    <x v="0"/>
    <x v="2"/>
    <x v="0"/>
    <x v="9"/>
    <x v="3"/>
    <x v="4"/>
    <x v="2"/>
  </r>
  <r>
    <s v="TX500688"/>
    <x v="5"/>
    <x v="1"/>
    <n v="55.6"/>
    <n v="111.2"/>
    <x v="29"/>
    <d v="2025-02-02T00:00:00"/>
    <x v="2"/>
    <x v="3"/>
    <x v="0"/>
    <x v="0"/>
    <x v="11"/>
    <x v="2"/>
    <x v="4"/>
    <x v="2"/>
  </r>
  <r>
    <s v="TX500689"/>
    <x v="3"/>
    <x v="1"/>
    <n v="36.200000000000003"/>
    <n v="72.400000000000006"/>
    <x v="29"/>
    <d v="2025-01-31T00:00:00"/>
    <x v="2"/>
    <x v="3"/>
    <x v="0"/>
    <x v="0"/>
    <x v="11"/>
    <x v="3"/>
    <x v="4"/>
    <x v="2"/>
  </r>
  <r>
    <s v="TX500690"/>
    <x v="0"/>
    <x v="0"/>
    <n v="26.6"/>
    <n v="26.6"/>
    <x v="29"/>
    <d v="2025-01-31T00:00:00"/>
    <x v="0"/>
    <x v="1"/>
    <x v="1"/>
    <x v="0"/>
    <x v="19"/>
    <x v="3"/>
    <x v="4"/>
    <x v="0"/>
  </r>
  <r>
    <s v="TX500691"/>
    <x v="10"/>
    <x v="12"/>
    <n v="31.5"/>
    <n v="126"/>
    <x v="29"/>
    <d v="2025-02-01T00:00:00"/>
    <x v="1"/>
    <x v="0"/>
    <x v="0"/>
    <x v="0"/>
    <x v="31"/>
    <x v="1"/>
    <x v="4"/>
    <x v="1"/>
  </r>
  <r>
    <s v="TX500692"/>
    <x v="10"/>
    <x v="0"/>
    <n v="27"/>
    <n v="27"/>
    <x v="29"/>
    <d v="2025-02-01T00:00:00"/>
    <x v="2"/>
    <x v="1"/>
    <x v="2"/>
    <x v="0"/>
    <x v="13"/>
    <x v="1"/>
    <x v="4"/>
    <x v="2"/>
  </r>
  <r>
    <s v="TX500693"/>
    <x v="4"/>
    <x v="0"/>
    <n v="32"/>
    <n v="32"/>
    <x v="29"/>
    <d v="2025-02-02T00:00:00"/>
    <x v="1"/>
    <x v="3"/>
    <x v="0"/>
    <x v="0"/>
    <x v="21"/>
    <x v="2"/>
    <x v="4"/>
    <x v="1"/>
  </r>
  <r>
    <s v="TX500694"/>
    <x v="1"/>
    <x v="2"/>
    <n v="48.1"/>
    <n v="144.30000000000001"/>
    <x v="29"/>
    <d v="2025-02-01T00:00:00"/>
    <x v="1"/>
    <x v="2"/>
    <x v="1"/>
    <x v="0"/>
    <x v="1"/>
    <x v="1"/>
    <x v="4"/>
    <x v="1"/>
  </r>
  <r>
    <s v="TX500695"/>
    <x v="9"/>
    <x v="1"/>
    <n v="43.4"/>
    <n v="86.8"/>
    <x v="29"/>
    <d v="2025-01-31T00:00:00"/>
    <x v="1"/>
    <x v="1"/>
    <x v="1"/>
    <x v="0"/>
    <x v="22"/>
    <x v="3"/>
    <x v="4"/>
    <x v="1"/>
  </r>
  <r>
    <s v="TX500696"/>
    <x v="6"/>
    <x v="1"/>
    <n v="42.6"/>
    <n v="85.2"/>
    <x v="29"/>
    <d v="2025-02-02T00:00:00"/>
    <x v="2"/>
    <x v="3"/>
    <x v="0"/>
    <x v="0"/>
    <x v="22"/>
    <x v="2"/>
    <x v="4"/>
    <x v="2"/>
  </r>
  <r>
    <s v="TX500697"/>
    <x v="8"/>
    <x v="1"/>
    <n v="15.9"/>
    <n v="31.8"/>
    <x v="29"/>
    <d v="2025-01-31T00:00:00"/>
    <x v="2"/>
    <x v="0"/>
    <x v="0"/>
    <x v="0"/>
    <x v="34"/>
    <x v="3"/>
    <x v="4"/>
    <x v="2"/>
  </r>
  <r>
    <s v="TX500698"/>
    <x v="9"/>
    <x v="1"/>
    <n v="63.2"/>
    <n v="126.4"/>
    <x v="29"/>
    <d v="2025-01-31T00:00:00"/>
    <x v="1"/>
    <x v="1"/>
    <x v="0"/>
    <x v="0"/>
    <x v="3"/>
    <x v="3"/>
    <x v="4"/>
    <x v="1"/>
  </r>
  <r>
    <s v="TX500699"/>
    <x v="7"/>
    <x v="12"/>
    <n v="64.8"/>
    <n v="259.2"/>
    <x v="29"/>
    <d v="2025-02-01T00:00:00"/>
    <x v="0"/>
    <x v="4"/>
    <x v="1"/>
    <x v="0"/>
    <x v="3"/>
    <x v="1"/>
    <x v="4"/>
    <x v="0"/>
  </r>
  <r>
    <s v="TX500700"/>
    <x v="7"/>
    <x v="2"/>
    <n v="79.8"/>
    <n v="239.39999999999998"/>
    <x v="29"/>
    <d v="2025-01-31T00:00:00"/>
    <x v="1"/>
    <x v="0"/>
    <x v="0"/>
    <x v="0"/>
    <x v="3"/>
    <x v="3"/>
    <x v="4"/>
    <x v="1"/>
  </r>
  <r>
    <s v="TX500701"/>
    <x v="9"/>
    <x v="0"/>
    <n v="54.4"/>
    <n v="54.4"/>
    <x v="29"/>
    <d v="2025-02-01T00:00:00"/>
    <x v="2"/>
    <x v="4"/>
    <x v="2"/>
    <x v="0"/>
    <x v="3"/>
    <x v="1"/>
    <x v="4"/>
    <x v="2"/>
  </r>
  <r>
    <s v="TX500702"/>
    <x v="6"/>
    <x v="0"/>
    <n v="87.3"/>
    <n v="87.3"/>
    <x v="29"/>
    <d v="2025-01-31T00:00:00"/>
    <x v="1"/>
    <x v="1"/>
    <x v="0"/>
    <x v="0"/>
    <x v="3"/>
    <x v="3"/>
    <x v="4"/>
    <x v="1"/>
  </r>
  <r>
    <s v="TX500703"/>
    <x v="8"/>
    <x v="12"/>
    <n v="32.4"/>
    <n v="129.6"/>
    <x v="29"/>
    <d v="2025-01-30T00:00:00"/>
    <x v="1"/>
    <x v="1"/>
    <x v="0"/>
    <x v="0"/>
    <x v="3"/>
    <x v="7"/>
    <x v="4"/>
    <x v="1"/>
  </r>
  <r>
    <s v="TX500704"/>
    <x v="2"/>
    <x v="0"/>
    <n v="177.4"/>
    <n v="177.4"/>
    <x v="29"/>
    <d v="2025-02-03T00:00:00"/>
    <x v="1"/>
    <x v="0"/>
    <x v="2"/>
    <x v="0"/>
    <x v="3"/>
    <x v="5"/>
    <x v="4"/>
    <x v="1"/>
  </r>
  <r>
    <s v="TX500705"/>
    <x v="7"/>
    <x v="1"/>
    <n v="70.099999999999994"/>
    <n v="140.19999999999999"/>
    <x v="29"/>
    <d v="2025-01-31T00:00:00"/>
    <x v="1"/>
    <x v="3"/>
    <x v="1"/>
    <x v="0"/>
    <x v="3"/>
    <x v="3"/>
    <x v="4"/>
    <x v="1"/>
  </r>
  <r>
    <s v="TX500706"/>
    <x v="9"/>
    <x v="13"/>
    <n v="51.1"/>
    <n v="306.60000000000002"/>
    <x v="29"/>
    <d v="2025-01-31T00:00:00"/>
    <x v="2"/>
    <x v="0"/>
    <x v="0"/>
    <x v="0"/>
    <x v="3"/>
    <x v="3"/>
    <x v="4"/>
    <x v="2"/>
  </r>
  <r>
    <s v="TX500707"/>
    <x v="2"/>
    <x v="9"/>
    <n v="79.900000000000006"/>
    <n v="399.5"/>
    <x v="29"/>
    <d v="2025-02-01T00:00:00"/>
    <x v="1"/>
    <x v="3"/>
    <x v="2"/>
    <x v="0"/>
    <x v="24"/>
    <x v="1"/>
    <x v="4"/>
    <x v="1"/>
  </r>
  <r>
    <s v="TX500708"/>
    <x v="6"/>
    <x v="0"/>
    <n v="57.6"/>
    <n v="57.6"/>
    <x v="30"/>
    <d v="2025-02-05T00:00:00"/>
    <x v="1"/>
    <x v="0"/>
    <x v="2"/>
    <x v="0"/>
    <x v="49"/>
    <x v="0"/>
    <x v="4"/>
    <x v="1"/>
  </r>
  <r>
    <s v="TX500709"/>
    <x v="8"/>
    <x v="7"/>
    <n v="59.7"/>
    <n v="597"/>
    <x v="30"/>
    <d v="2025-02-04T00:00:00"/>
    <x v="1"/>
    <x v="2"/>
    <x v="0"/>
    <x v="0"/>
    <x v="25"/>
    <x v="5"/>
    <x v="4"/>
    <x v="1"/>
  </r>
  <r>
    <s v="TX500710"/>
    <x v="8"/>
    <x v="9"/>
    <n v="30"/>
    <n v="150"/>
    <x v="30"/>
    <d v="2025-02-02T00:00:00"/>
    <x v="1"/>
    <x v="1"/>
    <x v="0"/>
    <x v="0"/>
    <x v="6"/>
    <x v="1"/>
    <x v="4"/>
    <x v="1"/>
  </r>
  <r>
    <s v="TX500711"/>
    <x v="10"/>
    <x v="1"/>
    <n v="69.2"/>
    <n v="138.4"/>
    <x v="30"/>
    <d v="2025-02-02T00:00:00"/>
    <x v="0"/>
    <x v="2"/>
    <x v="1"/>
    <x v="0"/>
    <x v="6"/>
    <x v="1"/>
    <x v="4"/>
    <x v="0"/>
  </r>
  <r>
    <s v="TX500712"/>
    <x v="0"/>
    <x v="8"/>
    <n v="10.9"/>
    <n v="87.2"/>
    <x v="30"/>
    <d v="2025-02-01T00:00:00"/>
    <x v="2"/>
    <x v="0"/>
    <x v="2"/>
    <x v="0"/>
    <x v="6"/>
    <x v="3"/>
    <x v="4"/>
    <x v="2"/>
  </r>
  <r>
    <s v="TX500713"/>
    <x v="16"/>
    <x v="1"/>
    <n v="48.6"/>
    <n v="97.2"/>
    <x v="30"/>
    <d v="2025-02-04T00:00:00"/>
    <x v="1"/>
    <x v="1"/>
    <x v="2"/>
    <x v="0"/>
    <x v="6"/>
    <x v="5"/>
    <x v="4"/>
    <x v="1"/>
  </r>
  <r>
    <s v="TX500714"/>
    <x v="2"/>
    <x v="1"/>
    <n v="61.1"/>
    <n v="122.2"/>
    <x v="30"/>
    <d v="2025-02-03T00:00:00"/>
    <x v="2"/>
    <x v="1"/>
    <x v="2"/>
    <x v="0"/>
    <x v="7"/>
    <x v="2"/>
    <x v="4"/>
    <x v="2"/>
  </r>
  <r>
    <s v="TX500715"/>
    <x v="8"/>
    <x v="1"/>
    <n v="23.2"/>
    <n v="46.4"/>
    <x v="30"/>
    <d v="2025-02-01T00:00:00"/>
    <x v="1"/>
    <x v="3"/>
    <x v="2"/>
    <x v="0"/>
    <x v="8"/>
    <x v="3"/>
    <x v="4"/>
    <x v="1"/>
  </r>
  <r>
    <s v="TX500716"/>
    <x v="12"/>
    <x v="12"/>
    <n v="55.8"/>
    <n v="223.2"/>
    <x v="30"/>
    <d v="2025-02-01T00:00:00"/>
    <x v="1"/>
    <x v="0"/>
    <x v="0"/>
    <x v="0"/>
    <x v="8"/>
    <x v="3"/>
    <x v="4"/>
    <x v="1"/>
  </r>
  <r>
    <s v="TX500717"/>
    <x v="9"/>
    <x v="12"/>
    <n v="24.8"/>
    <n v="99.2"/>
    <x v="30"/>
    <d v="2025-02-01T00:00:00"/>
    <x v="2"/>
    <x v="0"/>
    <x v="2"/>
    <x v="0"/>
    <x v="8"/>
    <x v="3"/>
    <x v="4"/>
    <x v="2"/>
  </r>
  <r>
    <s v="TX500718"/>
    <x v="10"/>
    <x v="1"/>
    <n v="27.9"/>
    <n v="55.8"/>
    <x v="30"/>
    <d v="2025-01-31T00:00:00"/>
    <x v="1"/>
    <x v="2"/>
    <x v="2"/>
    <x v="0"/>
    <x v="8"/>
    <x v="7"/>
    <x v="4"/>
    <x v="1"/>
  </r>
  <r>
    <s v="TX500719"/>
    <x v="10"/>
    <x v="13"/>
    <n v="51.1"/>
    <n v="306.60000000000002"/>
    <x v="30"/>
    <d v="2025-01-31T00:00:00"/>
    <x v="2"/>
    <x v="3"/>
    <x v="0"/>
    <x v="0"/>
    <x v="8"/>
    <x v="7"/>
    <x v="4"/>
    <x v="2"/>
  </r>
  <r>
    <s v="TX500720"/>
    <x v="17"/>
    <x v="5"/>
    <n v="32.700000000000003"/>
    <n v="359.70000000000005"/>
    <x v="30"/>
    <d v="2025-02-01T00:00:00"/>
    <x v="1"/>
    <x v="4"/>
    <x v="2"/>
    <x v="0"/>
    <x v="17"/>
    <x v="3"/>
    <x v="4"/>
    <x v="1"/>
  </r>
  <r>
    <s v="TX500721"/>
    <x v="8"/>
    <x v="12"/>
    <n v="22.5"/>
    <n v="90"/>
    <x v="30"/>
    <d v="2025-01-31T00:00:00"/>
    <x v="1"/>
    <x v="0"/>
    <x v="2"/>
    <x v="0"/>
    <x v="26"/>
    <x v="7"/>
    <x v="4"/>
    <x v="1"/>
  </r>
  <r>
    <s v="TX500722"/>
    <x v="0"/>
    <x v="3"/>
    <n v="14.6"/>
    <n v="102.2"/>
    <x v="30"/>
    <d v="2025-02-01T00:00:00"/>
    <x v="2"/>
    <x v="2"/>
    <x v="0"/>
    <x v="0"/>
    <x v="41"/>
    <x v="3"/>
    <x v="4"/>
    <x v="2"/>
  </r>
  <r>
    <s v="TX500723"/>
    <x v="5"/>
    <x v="2"/>
    <n v="32.5"/>
    <n v="97.5"/>
    <x v="30"/>
    <d v="2025-02-03T00:00:00"/>
    <x v="1"/>
    <x v="0"/>
    <x v="0"/>
    <x v="0"/>
    <x v="10"/>
    <x v="2"/>
    <x v="4"/>
    <x v="1"/>
  </r>
  <r>
    <s v="TX500724"/>
    <x v="18"/>
    <x v="0"/>
    <n v="78.099999999999994"/>
    <n v="78.099999999999994"/>
    <x v="30"/>
    <d v="2025-02-03T00:00:00"/>
    <x v="1"/>
    <x v="0"/>
    <x v="2"/>
    <x v="0"/>
    <x v="11"/>
    <x v="2"/>
    <x v="4"/>
    <x v="1"/>
  </r>
  <r>
    <s v="TX500725"/>
    <x v="12"/>
    <x v="13"/>
    <n v="110.2"/>
    <n v="661.2"/>
    <x v="30"/>
    <d v="2025-01-31T00:00:00"/>
    <x v="1"/>
    <x v="1"/>
    <x v="4"/>
    <x v="0"/>
    <x v="13"/>
    <x v="7"/>
    <x v="4"/>
    <x v="1"/>
  </r>
  <r>
    <s v="TX500726"/>
    <x v="6"/>
    <x v="2"/>
    <n v="86.3"/>
    <n v="258.89999999999998"/>
    <x v="30"/>
    <d v="2025-02-02T00:00:00"/>
    <x v="2"/>
    <x v="3"/>
    <x v="0"/>
    <x v="0"/>
    <x v="21"/>
    <x v="1"/>
    <x v="4"/>
    <x v="2"/>
  </r>
  <r>
    <s v="TX500727"/>
    <x v="1"/>
    <x v="13"/>
    <n v="73.599999999999994"/>
    <n v="441.59999999999997"/>
    <x v="30"/>
    <d v="2025-02-02T00:00:00"/>
    <x v="3"/>
    <x v="3"/>
    <x v="4"/>
    <x v="0"/>
    <x v="44"/>
    <x v="1"/>
    <x v="4"/>
    <x v="3"/>
  </r>
  <r>
    <s v="TX500728"/>
    <x v="6"/>
    <x v="15"/>
    <n v="67.7"/>
    <n v="880.1"/>
    <x v="30"/>
    <d v="2025-02-02T00:00:00"/>
    <x v="2"/>
    <x v="0"/>
    <x v="2"/>
    <x v="0"/>
    <x v="3"/>
    <x v="1"/>
    <x v="4"/>
    <x v="2"/>
  </r>
  <r>
    <s v="TX500729"/>
    <x v="7"/>
    <x v="13"/>
    <n v="142.19999999999999"/>
    <n v="853.19999999999993"/>
    <x v="30"/>
    <d v="2025-02-01T00:00:00"/>
    <x v="2"/>
    <x v="2"/>
    <x v="4"/>
    <x v="0"/>
    <x v="3"/>
    <x v="3"/>
    <x v="4"/>
    <x v="2"/>
  </r>
  <r>
    <s v="TX500730"/>
    <x v="1"/>
    <x v="11"/>
    <n v="45.8"/>
    <n v="412.2"/>
    <x v="30"/>
    <d v="2025-02-02T00:00:00"/>
    <x v="2"/>
    <x v="1"/>
    <x v="2"/>
    <x v="0"/>
    <x v="3"/>
    <x v="1"/>
    <x v="4"/>
    <x v="2"/>
  </r>
  <r>
    <s v="TX500731"/>
    <x v="10"/>
    <x v="1"/>
    <n v="24.2"/>
    <n v="48.4"/>
    <x v="31"/>
    <d v="2025-02-04T00:00:00"/>
    <x v="2"/>
    <x v="3"/>
    <x v="2"/>
    <x v="0"/>
    <x v="3"/>
    <x v="2"/>
    <x v="4"/>
    <x v="2"/>
  </r>
  <r>
    <s v="TX500732"/>
    <x v="2"/>
    <x v="2"/>
    <n v="144.9"/>
    <n v="434.70000000000005"/>
    <x v="31"/>
    <d v="2025-02-02T00:00:00"/>
    <x v="3"/>
    <x v="2"/>
    <x v="2"/>
    <x v="0"/>
    <x v="3"/>
    <x v="3"/>
    <x v="4"/>
    <x v="3"/>
  </r>
  <r>
    <s v="TX500733"/>
    <x v="11"/>
    <x v="9"/>
    <n v="32.799999999999997"/>
    <n v="164"/>
    <x v="31"/>
    <d v="2025-02-04T00:00:00"/>
    <x v="2"/>
    <x v="2"/>
    <x v="0"/>
    <x v="0"/>
    <x v="23"/>
    <x v="2"/>
    <x v="4"/>
    <x v="2"/>
  </r>
  <r>
    <s v="TX500734"/>
    <x v="7"/>
    <x v="7"/>
    <n v="35.700000000000003"/>
    <n v="357"/>
    <x v="31"/>
    <d v="2025-02-01T00:00:00"/>
    <x v="2"/>
    <x v="0"/>
    <x v="1"/>
    <x v="0"/>
    <x v="6"/>
    <x v="7"/>
    <x v="4"/>
    <x v="2"/>
  </r>
  <r>
    <s v="TX500735"/>
    <x v="9"/>
    <x v="1"/>
    <n v="54.6"/>
    <n v="109.2"/>
    <x v="31"/>
    <d v="2025-02-02T00:00:00"/>
    <x v="2"/>
    <x v="2"/>
    <x v="0"/>
    <x v="0"/>
    <x v="6"/>
    <x v="3"/>
    <x v="4"/>
    <x v="2"/>
  </r>
  <r>
    <s v="TX500736"/>
    <x v="8"/>
    <x v="1"/>
    <n v="35.700000000000003"/>
    <n v="71.400000000000006"/>
    <x v="31"/>
    <d v="2025-02-04T00:00:00"/>
    <x v="0"/>
    <x v="0"/>
    <x v="1"/>
    <x v="0"/>
    <x v="6"/>
    <x v="2"/>
    <x v="4"/>
    <x v="0"/>
  </r>
  <r>
    <s v="TX500737"/>
    <x v="10"/>
    <x v="1"/>
    <n v="52.4"/>
    <n v="104.8"/>
    <x v="31"/>
    <d v="2025-02-01T00:00:00"/>
    <x v="2"/>
    <x v="0"/>
    <x v="3"/>
    <x v="0"/>
    <x v="6"/>
    <x v="7"/>
    <x v="4"/>
    <x v="2"/>
  </r>
  <r>
    <s v="TX500738"/>
    <x v="8"/>
    <x v="21"/>
    <n v="16.2"/>
    <n v="226.79999999999998"/>
    <x v="31"/>
    <d v="2025-02-02T00:00:00"/>
    <x v="0"/>
    <x v="0"/>
    <x v="1"/>
    <x v="0"/>
    <x v="8"/>
    <x v="3"/>
    <x v="4"/>
    <x v="0"/>
  </r>
  <r>
    <s v="TX500739"/>
    <x v="6"/>
    <x v="35"/>
    <n v="42.8"/>
    <n v="2011.6"/>
    <x v="31"/>
    <d v="2025-02-02T00:00:00"/>
    <x v="2"/>
    <x v="0"/>
    <x v="0"/>
    <x v="0"/>
    <x v="8"/>
    <x v="3"/>
    <x v="4"/>
    <x v="2"/>
  </r>
  <r>
    <s v="TX500740"/>
    <x v="6"/>
    <x v="11"/>
    <n v="144.4"/>
    <n v="1299.6000000000001"/>
    <x v="31"/>
    <d v="2025-02-04T00:00:00"/>
    <x v="2"/>
    <x v="4"/>
    <x v="0"/>
    <x v="0"/>
    <x v="8"/>
    <x v="2"/>
    <x v="4"/>
    <x v="2"/>
  </r>
  <r>
    <s v="TX500741"/>
    <x v="3"/>
    <x v="34"/>
    <n v="30.6"/>
    <n v="1101.6000000000001"/>
    <x v="31"/>
    <d v="2025-02-05T00:00:00"/>
    <x v="2"/>
    <x v="2"/>
    <x v="2"/>
    <x v="0"/>
    <x v="11"/>
    <x v="5"/>
    <x v="4"/>
    <x v="2"/>
  </r>
  <r>
    <s v="TX500742"/>
    <x v="2"/>
    <x v="1"/>
    <n v="117.5"/>
    <n v="235"/>
    <x v="31"/>
    <d v="2025-02-02T00:00:00"/>
    <x v="1"/>
    <x v="0"/>
    <x v="0"/>
    <x v="0"/>
    <x v="19"/>
    <x v="3"/>
    <x v="4"/>
    <x v="1"/>
  </r>
  <r>
    <s v="TX500743"/>
    <x v="6"/>
    <x v="1"/>
    <n v="105.7"/>
    <n v="211.4"/>
    <x v="31"/>
    <d v="2025-02-02T00:00:00"/>
    <x v="2"/>
    <x v="2"/>
    <x v="2"/>
    <x v="0"/>
    <x v="21"/>
    <x v="3"/>
    <x v="4"/>
    <x v="2"/>
  </r>
  <r>
    <s v="TX500744"/>
    <x v="3"/>
    <x v="2"/>
    <n v="133.69999999999999"/>
    <n v="401.09999999999997"/>
    <x v="31"/>
    <d v="2025-02-02T00:00:00"/>
    <x v="0"/>
    <x v="4"/>
    <x v="2"/>
    <x v="0"/>
    <x v="21"/>
    <x v="3"/>
    <x v="4"/>
    <x v="0"/>
  </r>
  <r>
    <s v="TX500745"/>
    <x v="4"/>
    <x v="9"/>
    <n v="46.8"/>
    <n v="234"/>
    <x v="32"/>
    <d v="2025-02-10T00:00:00"/>
    <x v="2"/>
    <x v="0"/>
    <x v="1"/>
    <x v="0"/>
    <x v="21"/>
    <x v="9"/>
    <x v="5"/>
    <x v="2"/>
  </r>
  <r>
    <s v="TX500746"/>
    <x v="10"/>
    <x v="2"/>
    <n v="58.4"/>
    <n v="175.2"/>
    <x v="32"/>
    <d v="2025-02-04T00:00:00"/>
    <x v="2"/>
    <x v="0"/>
    <x v="0"/>
    <x v="0"/>
    <x v="1"/>
    <x v="1"/>
    <x v="5"/>
    <x v="2"/>
  </r>
  <r>
    <s v="TX500747"/>
    <x v="6"/>
    <x v="11"/>
    <n v="65.099999999999994"/>
    <n v="585.9"/>
    <x v="32"/>
    <d v="2025-02-06T00:00:00"/>
    <x v="1"/>
    <x v="1"/>
    <x v="2"/>
    <x v="0"/>
    <x v="22"/>
    <x v="5"/>
    <x v="5"/>
    <x v="1"/>
  </r>
  <r>
    <s v="TX500748"/>
    <x v="8"/>
    <x v="0"/>
    <n v="18.600000000000001"/>
    <n v="18.600000000000001"/>
    <x v="32"/>
    <d v="2025-02-05T00:00:00"/>
    <x v="2"/>
    <x v="0"/>
    <x v="4"/>
    <x v="0"/>
    <x v="22"/>
    <x v="2"/>
    <x v="5"/>
    <x v="2"/>
  </r>
  <r>
    <s v="TX500749"/>
    <x v="1"/>
    <x v="5"/>
    <n v="92.3"/>
    <n v="1015.3"/>
    <x v="32"/>
    <d v="2025-02-04T00:00:00"/>
    <x v="1"/>
    <x v="1"/>
    <x v="0"/>
    <x v="0"/>
    <x v="3"/>
    <x v="1"/>
    <x v="5"/>
    <x v="1"/>
  </r>
  <r>
    <s v="TX500750"/>
    <x v="6"/>
    <x v="2"/>
    <n v="81.7"/>
    <n v="245.10000000000002"/>
    <x v="32"/>
    <d v="2025-02-03T00:00:00"/>
    <x v="0"/>
    <x v="4"/>
    <x v="4"/>
    <x v="0"/>
    <x v="3"/>
    <x v="3"/>
    <x v="5"/>
    <x v="0"/>
  </r>
  <r>
    <s v="TX500751"/>
    <x v="8"/>
    <x v="1"/>
    <n v="40.9"/>
    <n v="81.8"/>
    <x v="32"/>
    <d v="2025-02-04T00:00:00"/>
    <x v="1"/>
    <x v="0"/>
    <x v="1"/>
    <x v="0"/>
    <x v="3"/>
    <x v="1"/>
    <x v="5"/>
    <x v="1"/>
  </r>
  <r>
    <s v="TX500752"/>
    <x v="6"/>
    <x v="12"/>
    <n v="43.2"/>
    <n v="172.8"/>
    <x v="32"/>
    <d v="2025-02-08T00:00:00"/>
    <x v="2"/>
    <x v="0"/>
    <x v="1"/>
    <x v="0"/>
    <x v="3"/>
    <x v="4"/>
    <x v="5"/>
    <x v="2"/>
  </r>
  <r>
    <s v="TX500753"/>
    <x v="8"/>
    <x v="5"/>
    <n v="25.8"/>
    <n v="283.8"/>
    <x v="32"/>
    <d v="2025-02-05T00:00:00"/>
    <x v="1"/>
    <x v="2"/>
    <x v="1"/>
    <x v="0"/>
    <x v="3"/>
    <x v="2"/>
    <x v="5"/>
    <x v="1"/>
  </r>
  <r>
    <s v="TX500754"/>
    <x v="15"/>
    <x v="12"/>
    <n v="36.4"/>
    <n v="145.6"/>
    <x v="32"/>
    <d v="2025-02-03T00:00:00"/>
    <x v="1"/>
    <x v="0"/>
    <x v="0"/>
    <x v="0"/>
    <x v="3"/>
    <x v="3"/>
    <x v="5"/>
    <x v="1"/>
  </r>
  <r>
    <s v="TX500755"/>
    <x v="10"/>
    <x v="0"/>
    <n v="59.1"/>
    <n v="59.1"/>
    <x v="32"/>
    <d v="2025-02-03T00:00:00"/>
    <x v="2"/>
    <x v="2"/>
    <x v="0"/>
    <x v="0"/>
    <x v="7"/>
    <x v="3"/>
    <x v="5"/>
    <x v="2"/>
  </r>
  <r>
    <s v="TX500756"/>
    <x v="2"/>
    <x v="14"/>
    <n v="74.5"/>
    <n v="1266.5"/>
    <x v="32"/>
    <d v="2025-02-04T00:00:00"/>
    <x v="1"/>
    <x v="4"/>
    <x v="0"/>
    <x v="0"/>
    <x v="18"/>
    <x v="1"/>
    <x v="5"/>
    <x v="1"/>
  </r>
  <r>
    <s v="TX500757"/>
    <x v="5"/>
    <x v="0"/>
    <n v="72.8"/>
    <n v="72.8"/>
    <x v="32"/>
    <d v="2025-02-03T00:00:00"/>
    <x v="2"/>
    <x v="0"/>
    <x v="1"/>
    <x v="0"/>
    <x v="19"/>
    <x v="3"/>
    <x v="5"/>
    <x v="2"/>
  </r>
  <r>
    <s v="TX500758"/>
    <x v="6"/>
    <x v="12"/>
    <n v="137.30000000000001"/>
    <n v="549.20000000000005"/>
    <x v="32"/>
    <d v="2025-02-05T00:00:00"/>
    <x v="2"/>
    <x v="0"/>
    <x v="0"/>
    <x v="0"/>
    <x v="13"/>
    <x v="2"/>
    <x v="5"/>
    <x v="2"/>
  </r>
  <r>
    <s v="TX500759"/>
    <x v="1"/>
    <x v="2"/>
    <n v="48.7"/>
    <n v="146.10000000000002"/>
    <x v="32"/>
    <d v="2025-02-07T00:00:00"/>
    <x v="2"/>
    <x v="0"/>
    <x v="1"/>
    <x v="0"/>
    <x v="21"/>
    <x v="0"/>
    <x v="5"/>
    <x v="2"/>
  </r>
  <r>
    <s v="TX500760"/>
    <x v="6"/>
    <x v="12"/>
    <n v="53.7"/>
    <n v="214.8"/>
    <x v="32"/>
    <d v="2025-02-06T00:00:00"/>
    <x v="1"/>
    <x v="1"/>
    <x v="4"/>
    <x v="0"/>
    <x v="2"/>
    <x v="5"/>
    <x v="5"/>
    <x v="1"/>
  </r>
  <r>
    <s v="TX500761"/>
    <x v="2"/>
    <x v="3"/>
    <n v="100.9"/>
    <n v="706.30000000000007"/>
    <x v="32"/>
    <d v="2025-02-04T00:00:00"/>
    <x v="2"/>
    <x v="0"/>
    <x v="1"/>
    <x v="0"/>
    <x v="2"/>
    <x v="1"/>
    <x v="5"/>
    <x v="2"/>
  </r>
  <r>
    <s v="TX500762"/>
    <x v="10"/>
    <x v="1"/>
    <n v="41.8"/>
    <n v="83.6"/>
    <x v="32"/>
    <d v="2025-02-06T00:00:00"/>
    <x v="1"/>
    <x v="3"/>
    <x v="2"/>
    <x v="0"/>
    <x v="22"/>
    <x v="5"/>
    <x v="5"/>
    <x v="1"/>
  </r>
  <r>
    <s v="TX500763"/>
    <x v="4"/>
    <x v="8"/>
    <n v="28.5"/>
    <n v="228"/>
    <x v="32"/>
    <d v="2025-02-04T00:00:00"/>
    <x v="1"/>
    <x v="2"/>
    <x v="1"/>
    <x v="0"/>
    <x v="3"/>
    <x v="1"/>
    <x v="5"/>
    <x v="1"/>
  </r>
  <r>
    <s v="TX500764"/>
    <x v="7"/>
    <x v="12"/>
    <n v="88.9"/>
    <n v="355.6"/>
    <x v="32"/>
    <d v="2025-02-05T00:00:00"/>
    <x v="2"/>
    <x v="0"/>
    <x v="2"/>
    <x v="0"/>
    <x v="3"/>
    <x v="2"/>
    <x v="5"/>
    <x v="2"/>
  </r>
  <r>
    <s v="TX500765"/>
    <x v="6"/>
    <x v="0"/>
    <n v="62.5"/>
    <n v="62.5"/>
    <x v="32"/>
    <d v="2025-02-11T00:00:00"/>
    <x v="2"/>
    <x v="0"/>
    <x v="2"/>
    <x v="0"/>
    <x v="3"/>
    <x v="8"/>
    <x v="5"/>
    <x v="2"/>
  </r>
  <r>
    <s v="TX500766"/>
    <x v="1"/>
    <x v="2"/>
    <n v="46.9"/>
    <n v="140.69999999999999"/>
    <x v="32"/>
    <d v="2025-02-03T00:00:00"/>
    <x v="1"/>
    <x v="0"/>
    <x v="2"/>
    <x v="0"/>
    <x v="3"/>
    <x v="3"/>
    <x v="5"/>
    <x v="1"/>
  </r>
  <r>
    <s v="TX500767"/>
    <x v="8"/>
    <x v="2"/>
    <n v="45"/>
    <n v="135"/>
    <x v="32"/>
    <d v="2025-02-16T00:00:00"/>
    <x v="1"/>
    <x v="1"/>
    <x v="0"/>
    <x v="0"/>
    <x v="3"/>
    <x v="12"/>
    <x v="5"/>
    <x v="1"/>
  </r>
  <r>
    <s v="TX500768"/>
    <x v="6"/>
    <x v="2"/>
    <n v="45.2"/>
    <n v="135.60000000000002"/>
    <x v="32"/>
    <d v="2025-02-04T00:00:00"/>
    <x v="1"/>
    <x v="4"/>
    <x v="2"/>
    <x v="0"/>
    <x v="3"/>
    <x v="1"/>
    <x v="5"/>
    <x v="1"/>
  </r>
  <r>
    <s v="TX500769"/>
    <x v="4"/>
    <x v="1"/>
    <n v="60.1"/>
    <n v="120.2"/>
    <x v="32"/>
    <d v="2025-02-03T00:00:00"/>
    <x v="2"/>
    <x v="0"/>
    <x v="2"/>
    <x v="0"/>
    <x v="3"/>
    <x v="3"/>
    <x v="5"/>
    <x v="2"/>
  </r>
  <r>
    <s v="TX500770"/>
    <x v="12"/>
    <x v="12"/>
    <n v="118.7"/>
    <n v="474.8"/>
    <x v="32"/>
    <d v="2025-02-04T00:00:00"/>
    <x v="2"/>
    <x v="0"/>
    <x v="0"/>
    <x v="0"/>
    <x v="3"/>
    <x v="1"/>
    <x v="5"/>
    <x v="2"/>
  </r>
  <r>
    <s v="TX500771"/>
    <x v="9"/>
    <x v="0"/>
    <n v="57.8"/>
    <n v="57.8"/>
    <x v="32"/>
    <d v="2025-02-11T00:00:00"/>
    <x v="2"/>
    <x v="1"/>
    <x v="0"/>
    <x v="0"/>
    <x v="3"/>
    <x v="8"/>
    <x v="5"/>
    <x v="2"/>
  </r>
  <r>
    <s v="TX500772"/>
    <x v="4"/>
    <x v="0"/>
    <n v="19.5"/>
    <n v="19.5"/>
    <x v="32"/>
    <d v="2025-02-03T00:00:00"/>
    <x v="1"/>
    <x v="1"/>
    <x v="1"/>
    <x v="0"/>
    <x v="3"/>
    <x v="3"/>
    <x v="5"/>
    <x v="1"/>
  </r>
  <r>
    <s v="TX500773"/>
    <x v="12"/>
    <x v="0"/>
    <n v="42.6"/>
    <n v="42.6"/>
    <x v="32"/>
    <d v="2025-02-03T00:00:00"/>
    <x v="1"/>
    <x v="0"/>
    <x v="1"/>
    <x v="0"/>
    <x v="3"/>
    <x v="3"/>
    <x v="5"/>
    <x v="1"/>
  </r>
  <r>
    <s v="TX500774"/>
    <x v="6"/>
    <x v="1"/>
    <n v="74.8"/>
    <n v="149.6"/>
    <x v="32"/>
    <d v="2025-02-03T00:00:00"/>
    <x v="2"/>
    <x v="3"/>
    <x v="2"/>
    <x v="0"/>
    <x v="37"/>
    <x v="3"/>
    <x v="5"/>
    <x v="2"/>
  </r>
  <r>
    <s v="TX500775"/>
    <x v="8"/>
    <x v="2"/>
    <n v="32.5"/>
    <n v="97.5"/>
    <x v="32"/>
    <d v="2025-02-03T00:00:00"/>
    <x v="1"/>
    <x v="2"/>
    <x v="4"/>
    <x v="0"/>
    <x v="16"/>
    <x v="3"/>
    <x v="5"/>
    <x v="1"/>
  </r>
  <r>
    <s v="TX500776"/>
    <x v="2"/>
    <x v="2"/>
    <n v="60.5"/>
    <n v="181.5"/>
    <x v="32"/>
    <d v="2025-02-02T00:00:00"/>
    <x v="2"/>
    <x v="1"/>
    <x v="2"/>
    <x v="0"/>
    <x v="25"/>
    <x v="7"/>
    <x v="5"/>
    <x v="2"/>
  </r>
  <r>
    <s v="TX500777"/>
    <x v="1"/>
    <x v="3"/>
    <n v="57.2"/>
    <n v="400.40000000000003"/>
    <x v="32"/>
    <d v="2025-02-04T00:00:00"/>
    <x v="0"/>
    <x v="2"/>
    <x v="0"/>
    <x v="0"/>
    <x v="25"/>
    <x v="1"/>
    <x v="5"/>
    <x v="0"/>
  </r>
  <r>
    <s v="TX500778"/>
    <x v="16"/>
    <x v="1"/>
    <n v="112"/>
    <n v="224"/>
    <x v="32"/>
    <d v="2025-02-03T00:00:00"/>
    <x v="2"/>
    <x v="1"/>
    <x v="1"/>
    <x v="0"/>
    <x v="5"/>
    <x v="3"/>
    <x v="5"/>
    <x v="2"/>
  </r>
  <r>
    <s v="TX500779"/>
    <x v="7"/>
    <x v="7"/>
    <n v="49"/>
    <n v="490"/>
    <x v="32"/>
    <d v="2025-02-03T00:00:00"/>
    <x v="3"/>
    <x v="2"/>
    <x v="1"/>
    <x v="0"/>
    <x v="6"/>
    <x v="3"/>
    <x v="5"/>
    <x v="3"/>
  </r>
  <r>
    <s v="TX500780"/>
    <x v="0"/>
    <x v="1"/>
    <n v="33.700000000000003"/>
    <n v="67.400000000000006"/>
    <x v="32"/>
    <d v="2025-02-06T00:00:00"/>
    <x v="2"/>
    <x v="3"/>
    <x v="0"/>
    <x v="0"/>
    <x v="6"/>
    <x v="5"/>
    <x v="5"/>
    <x v="2"/>
  </r>
  <r>
    <s v="TX500781"/>
    <x v="4"/>
    <x v="2"/>
    <n v="35.6"/>
    <n v="106.80000000000001"/>
    <x v="32"/>
    <d v="2025-02-05T00:00:00"/>
    <x v="2"/>
    <x v="0"/>
    <x v="2"/>
    <x v="0"/>
    <x v="6"/>
    <x v="2"/>
    <x v="5"/>
    <x v="2"/>
  </r>
  <r>
    <s v="TX500782"/>
    <x v="4"/>
    <x v="36"/>
    <n v="30.4"/>
    <n v="1064"/>
    <x v="33"/>
    <d v="2025-02-03T00:00:00"/>
    <x v="2"/>
    <x v="0"/>
    <x v="1"/>
    <x v="0"/>
    <x v="7"/>
    <x v="7"/>
    <x v="5"/>
    <x v="2"/>
  </r>
  <r>
    <s v="TX500783"/>
    <x v="10"/>
    <x v="4"/>
    <n v="50.2"/>
    <n v="602.40000000000009"/>
    <x v="33"/>
    <d v="2025-02-04T00:00:00"/>
    <x v="1"/>
    <x v="4"/>
    <x v="0"/>
    <x v="0"/>
    <x v="8"/>
    <x v="3"/>
    <x v="5"/>
    <x v="1"/>
  </r>
  <r>
    <s v="TX500784"/>
    <x v="1"/>
    <x v="1"/>
    <n v="43.7"/>
    <n v="87.4"/>
    <x v="33"/>
    <d v="2025-02-05T00:00:00"/>
    <x v="2"/>
    <x v="0"/>
    <x v="0"/>
    <x v="0"/>
    <x v="8"/>
    <x v="1"/>
    <x v="5"/>
    <x v="2"/>
  </r>
  <r>
    <s v="TX500785"/>
    <x v="10"/>
    <x v="0"/>
    <n v="33.299999999999997"/>
    <n v="33.299999999999997"/>
    <x v="33"/>
    <d v="2025-02-04T00:00:00"/>
    <x v="2"/>
    <x v="2"/>
    <x v="1"/>
    <x v="0"/>
    <x v="8"/>
    <x v="3"/>
    <x v="5"/>
    <x v="2"/>
  </r>
  <r>
    <s v="TX500786"/>
    <x v="8"/>
    <x v="12"/>
    <n v="15.1"/>
    <n v="60.4"/>
    <x v="33"/>
    <d v="2025-02-05T00:00:00"/>
    <x v="2"/>
    <x v="4"/>
    <x v="2"/>
    <x v="0"/>
    <x v="8"/>
    <x v="1"/>
    <x v="5"/>
    <x v="2"/>
  </r>
  <r>
    <s v="TX500787"/>
    <x v="6"/>
    <x v="9"/>
    <n v="118.2"/>
    <n v="591"/>
    <x v="33"/>
    <d v="2025-02-04T00:00:00"/>
    <x v="2"/>
    <x v="3"/>
    <x v="4"/>
    <x v="0"/>
    <x v="8"/>
    <x v="3"/>
    <x v="5"/>
    <x v="2"/>
  </r>
  <r>
    <s v="TX500788"/>
    <x v="10"/>
    <x v="2"/>
    <n v="28.9"/>
    <n v="86.699999999999989"/>
    <x v="33"/>
    <d v="2025-02-05T00:00:00"/>
    <x v="2"/>
    <x v="2"/>
    <x v="1"/>
    <x v="0"/>
    <x v="8"/>
    <x v="1"/>
    <x v="5"/>
    <x v="2"/>
  </r>
  <r>
    <s v="TX500789"/>
    <x v="4"/>
    <x v="2"/>
    <n v="55.6"/>
    <n v="166.8"/>
    <x v="33"/>
    <d v="2025-02-04T00:00:00"/>
    <x v="1"/>
    <x v="0"/>
    <x v="1"/>
    <x v="0"/>
    <x v="8"/>
    <x v="3"/>
    <x v="5"/>
    <x v="1"/>
  </r>
  <r>
    <s v="TX500790"/>
    <x v="9"/>
    <x v="12"/>
    <n v="25.6"/>
    <n v="102.4"/>
    <x v="33"/>
    <d v="2025-02-05T00:00:00"/>
    <x v="2"/>
    <x v="0"/>
    <x v="1"/>
    <x v="0"/>
    <x v="8"/>
    <x v="1"/>
    <x v="5"/>
    <x v="2"/>
  </r>
  <r>
    <s v="TX500791"/>
    <x v="7"/>
    <x v="2"/>
    <n v="31.3"/>
    <n v="93.9"/>
    <x v="33"/>
    <d v="2025-02-04T00:00:00"/>
    <x v="1"/>
    <x v="0"/>
    <x v="0"/>
    <x v="0"/>
    <x v="17"/>
    <x v="3"/>
    <x v="5"/>
    <x v="1"/>
  </r>
  <r>
    <s v="TX500792"/>
    <x v="0"/>
    <x v="2"/>
    <n v="22.1"/>
    <n v="66.300000000000011"/>
    <x v="33"/>
    <d v="2025-02-07T00:00:00"/>
    <x v="1"/>
    <x v="0"/>
    <x v="0"/>
    <x v="0"/>
    <x v="17"/>
    <x v="5"/>
    <x v="5"/>
    <x v="1"/>
  </r>
  <r>
    <s v="TX500793"/>
    <x v="2"/>
    <x v="21"/>
    <n v="99.4"/>
    <n v="1391.6000000000001"/>
    <x v="33"/>
    <d v="2025-02-04T00:00:00"/>
    <x v="1"/>
    <x v="1"/>
    <x v="0"/>
    <x v="0"/>
    <x v="11"/>
    <x v="3"/>
    <x v="5"/>
    <x v="1"/>
  </r>
  <r>
    <s v="TX500794"/>
    <x v="7"/>
    <x v="13"/>
    <n v="66.599999999999994"/>
    <n v="399.59999999999997"/>
    <x v="33"/>
    <d v="2025-02-04T00:00:00"/>
    <x v="2"/>
    <x v="0"/>
    <x v="0"/>
    <x v="0"/>
    <x v="11"/>
    <x v="3"/>
    <x v="5"/>
    <x v="2"/>
  </r>
  <r>
    <s v="TX500795"/>
    <x v="8"/>
    <x v="1"/>
    <n v="22.6"/>
    <n v="45.2"/>
    <x v="33"/>
    <d v="2025-02-06T00:00:00"/>
    <x v="1"/>
    <x v="0"/>
    <x v="0"/>
    <x v="0"/>
    <x v="11"/>
    <x v="2"/>
    <x v="5"/>
    <x v="1"/>
  </r>
  <r>
    <s v="TX500796"/>
    <x v="2"/>
    <x v="16"/>
    <n v="66.8"/>
    <n v="1202.3999999999999"/>
    <x v="33"/>
    <d v="2025-02-04T00:00:00"/>
    <x v="2"/>
    <x v="0"/>
    <x v="4"/>
    <x v="0"/>
    <x v="13"/>
    <x v="3"/>
    <x v="5"/>
    <x v="2"/>
  </r>
  <r>
    <s v="TX500797"/>
    <x v="0"/>
    <x v="12"/>
    <n v="20.8"/>
    <n v="83.2"/>
    <x v="33"/>
    <d v="2025-02-10T00:00:00"/>
    <x v="1"/>
    <x v="1"/>
    <x v="4"/>
    <x v="0"/>
    <x v="1"/>
    <x v="6"/>
    <x v="5"/>
    <x v="1"/>
  </r>
  <r>
    <s v="TX500798"/>
    <x v="2"/>
    <x v="3"/>
    <n v="102.5"/>
    <n v="717.5"/>
    <x v="33"/>
    <d v="2025-02-04T00:00:00"/>
    <x v="2"/>
    <x v="4"/>
    <x v="2"/>
    <x v="0"/>
    <x v="3"/>
    <x v="3"/>
    <x v="5"/>
    <x v="2"/>
  </r>
  <r>
    <s v="TX500799"/>
    <x v="0"/>
    <x v="16"/>
    <n v="24.8"/>
    <n v="446.40000000000003"/>
    <x v="33"/>
    <d v="2025-02-07T00:00:00"/>
    <x v="2"/>
    <x v="0"/>
    <x v="0"/>
    <x v="0"/>
    <x v="3"/>
    <x v="5"/>
    <x v="5"/>
    <x v="2"/>
  </r>
  <r>
    <s v="TX500800"/>
    <x v="4"/>
    <x v="37"/>
    <n v="31.4"/>
    <n v="973.4"/>
    <x v="33"/>
    <d v="2025-02-04T00:00:00"/>
    <x v="2"/>
    <x v="3"/>
    <x v="0"/>
    <x v="0"/>
    <x v="3"/>
    <x v="3"/>
    <x v="5"/>
    <x v="2"/>
  </r>
  <r>
    <s v="TX500801"/>
    <x v="9"/>
    <x v="9"/>
    <n v="59.3"/>
    <n v="296.5"/>
    <x v="33"/>
    <d v="2025-02-06T00:00:00"/>
    <x v="1"/>
    <x v="1"/>
    <x v="2"/>
    <x v="0"/>
    <x v="43"/>
    <x v="2"/>
    <x v="5"/>
    <x v="1"/>
  </r>
  <r>
    <s v="TX500802"/>
    <x v="11"/>
    <x v="13"/>
    <n v="39"/>
    <n v="234"/>
    <x v="33"/>
    <d v="2025-02-06T00:00:00"/>
    <x v="1"/>
    <x v="1"/>
    <x v="0"/>
    <x v="0"/>
    <x v="6"/>
    <x v="2"/>
    <x v="5"/>
    <x v="1"/>
  </r>
  <r>
    <s v="TX500803"/>
    <x v="5"/>
    <x v="13"/>
    <n v="98.6"/>
    <n v="591.59999999999991"/>
    <x v="33"/>
    <d v="2025-02-05T00:00:00"/>
    <x v="2"/>
    <x v="1"/>
    <x v="0"/>
    <x v="0"/>
    <x v="6"/>
    <x v="1"/>
    <x v="5"/>
    <x v="2"/>
  </r>
  <r>
    <s v="TX500804"/>
    <x v="8"/>
    <x v="0"/>
    <n v="20"/>
    <n v="20"/>
    <x v="34"/>
    <d v="2025-02-05T00:00:00"/>
    <x v="1"/>
    <x v="3"/>
    <x v="2"/>
    <x v="0"/>
    <x v="8"/>
    <x v="3"/>
    <x v="5"/>
    <x v="1"/>
  </r>
  <r>
    <s v="TX500805"/>
    <x v="1"/>
    <x v="1"/>
    <n v="42.9"/>
    <n v="85.8"/>
    <x v="34"/>
    <d v="2025-02-06T00:00:00"/>
    <x v="2"/>
    <x v="0"/>
    <x v="2"/>
    <x v="0"/>
    <x v="8"/>
    <x v="1"/>
    <x v="5"/>
    <x v="2"/>
  </r>
  <r>
    <s v="TX500806"/>
    <x v="7"/>
    <x v="3"/>
    <n v="55.6"/>
    <n v="389.2"/>
    <x v="34"/>
    <d v="2025-02-06T00:00:00"/>
    <x v="2"/>
    <x v="2"/>
    <x v="1"/>
    <x v="0"/>
    <x v="8"/>
    <x v="1"/>
    <x v="5"/>
    <x v="2"/>
  </r>
  <r>
    <s v="TX500807"/>
    <x v="8"/>
    <x v="12"/>
    <n v="19.2"/>
    <n v="76.8"/>
    <x v="34"/>
    <d v="2025-02-09T00:00:00"/>
    <x v="2"/>
    <x v="0"/>
    <x v="0"/>
    <x v="0"/>
    <x v="41"/>
    <x v="0"/>
    <x v="5"/>
    <x v="2"/>
  </r>
  <r>
    <s v="TX500808"/>
    <x v="5"/>
    <x v="1"/>
    <n v="28.8"/>
    <n v="57.6"/>
    <x v="34"/>
    <d v="2025-02-06T00:00:00"/>
    <x v="1"/>
    <x v="1"/>
    <x v="0"/>
    <x v="0"/>
    <x v="18"/>
    <x v="1"/>
    <x v="5"/>
    <x v="1"/>
  </r>
  <r>
    <s v="TX500809"/>
    <x v="4"/>
    <x v="0"/>
    <n v="29.7"/>
    <n v="29.7"/>
    <x v="34"/>
    <d v="2025-02-06T00:00:00"/>
    <x v="2"/>
    <x v="2"/>
    <x v="4"/>
    <x v="0"/>
    <x v="20"/>
    <x v="1"/>
    <x v="5"/>
    <x v="2"/>
  </r>
  <r>
    <s v="TX500810"/>
    <x v="6"/>
    <x v="13"/>
    <n v="63.3"/>
    <n v="379.79999999999995"/>
    <x v="34"/>
    <d v="2025-02-05T00:00:00"/>
    <x v="0"/>
    <x v="0"/>
    <x v="2"/>
    <x v="0"/>
    <x v="21"/>
    <x v="3"/>
    <x v="5"/>
    <x v="0"/>
  </r>
  <r>
    <s v="TX500811"/>
    <x v="4"/>
    <x v="0"/>
    <n v="46"/>
    <n v="46"/>
    <x v="34"/>
    <d v="2025-02-05T00:00:00"/>
    <x v="2"/>
    <x v="0"/>
    <x v="2"/>
    <x v="0"/>
    <x v="21"/>
    <x v="3"/>
    <x v="5"/>
    <x v="2"/>
  </r>
  <r>
    <s v="TX500812"/>
    <x v="11"/>
    <x v="2"/>
    <n v="38"/>
    <n v="114"/>
    <x v="34"/>
    <d v="2025-02-06T00:00:00"/>
    <x v="2"/>
    <x v="1"/>
    <x v="2"/>
    <x v="0"/>
    <x v="21"/>
    <x v="1"/>
    <x v="5"/>
    <x v="2"/>
  </r>
  <r>
    <s v="TX500813"/>
    <x v="10"/>
    <x v="15"/>
    <n v="34.6"/>
    <n v="449.8"/>
    <x v="34"/>
    <d v="2025-02-06T00:00:00"/>
    <x v="2"/>
    <x v="0"/>
    <x v="1"/>
    <x v="0"/>
    <x v="21"/>
    <x v="1"/>
    <x v="5"/>
    <x v="2"/>
  </r>
  <r>
    <s v="TX500814"/>
    <x v="3"/>
    <x v="7"/>
    <n v="79.7"/>
    <n v="797"/>
    <x v="34"/>
    <d v="2025-02-05T00:00:00"/>
    <x v="2"/>
    <x v="4"/>
    <x v="1"/>
    <x v="0"/>
    <x v="21"/>
    <x v="3"/>
    <x v="5"/>
    <x v="2"/>
  </r>
  <r>
    <s v="TX500815"/>
    <x v="8"/>
    <x v="8"/>
    <n v="30.5"/>
    <n v="244"/>
    <x v="34"/>
    <d v="2025-02-08T00:00:00"/>
    <x v="1"/>
    <x v="3"/>
    <x v="0"/>
    <x v="0"/>
    <x v="1"/>
    <x v="5"/>
    <x v="5"/>
    <x v="1"/>
  </r>
  <r>
    <s v="TX500816"/>
    <x v="0"/>
    <x v="1"/>
    <n v="20.8"/>
    <n v="41.6"/>
    <x v="34"/>
    <d v="2025-02-05T00:00:00"/>
    <x v="2"/>
    <x v="0"/>
    <x v="0"/>
    <x v="0"/>
    <x v="2"/>
    <x v="3"/>
    <x v="5"/>
    <x v="2"/>
  </r>
  <r>
    <s v="TX500817"/>
    <x v="11"/>
    <x v="3"/>
    <n v="48.5"/>
    <n v="339.5"/>
    <x v="34"/>
    <d v="2025-02-08T00:00:00"/>
    <x v="2"/>
    <x v="2"/>
    <x v="2"/>
    <x v="0"/>
    <x v="2"/>
    <x v="5"/>
    <x v="5"/>
    <x v="2"/>
  </r>
  <r>
    <s v="TX500818"/>
    <x v="2"/>
    <x v="12"/>
    <n v="61.8"/>
    <n v="247.2"/>
    <x v="34"/>
    <d v="2025-02-08T00:00:00"/>
    <x v="2"/>
    <x v="4"/>
    <x v="0"/>
    <x v="0"/>
    <x v="22"/>
    <x v="5"/>
    <x v="5"/>
    <x v="2"/>
  </r>
  <r>
    <s v="TX500819"/>
    <x v="10"/>
    <x v="0"/>
    <n v="46.1"/>
    <n v="46.1"/>
    <x v="34"/>
    <d v="2025-02-05T00:00:00"/>
    <x v="3"/>
    <x v="2"/>
    <x v="0"/>
    <x v="0"/>
    <x v="3"/>
    <x v="3"/>
    <x v="5"/>
    <x v="3"/>
  </r>
  <r>
    <s v="TX500820"/>
    <x v="4"/>
    <x v="13"/>
    <n v="44"/>
    <n v="264"/>
    <x v="34"/>
    <d v="2025-02-05T00:00:00"/>
    <x v="2"/>
    <x v="0"/>
    <x v="0"/>
    <x v="0"/>
    <x v="3"/>
    <x v="3"/>
    <x v="5"/>
    <x v="2"/>
  </r>
  <r>
    <s v="TX500821"/>
    <x v="18"/>
    <x v="1"/>
    <n v="95.7"/>
    <n v="191.4"/>
    <x v="34"/>
    <d v="2025-02-10T00:00:00"/>
    <x v="2"/>
    <x v="3"/>
    <x v="2"/>
    <x v="0"/>
    <x v="3"/>
    <x v="4"/>
    <x v="5"/>
    <x v="2"/>
  </r>
  <r>
    <s v="TX500822"/>
    <x v="7"/>
    <x v="9"/>
    <n v="46.4"/>
    <n v="232"/>
    <x v="34"/>
    <d v="2025-02-07T00:00:00"/>
    <x v="2"/>
    <x v="0"/>
    <x v="0"/>
    <x v="0"/>
    <x v="3"/>
    <x v="2"/>
    <x v="5"/>
    <x v="2"/>
  </r>
  <r>
    <s v="TX500823"/>
    <x v="6"/>
    <x v="1"/>
    <n v="47.2"/>
    <n v="94.4"/>
    <x v="34"/>
    <d v="2025-02-06T00:00:00"/>
    <x v="2"/>
    <x v="0"/>
    <x v="2"/>
    <x v="0"/>
    <x v="3"/>
    <x v="1"/>
    <x v="5"/>
    <x v="2"/>
  </r>
  <r>
    <s v="TX500824"/>
    <x v="7"/>
    <x v="1"/>
    <n v="58.6"/>
    <n v="117.2"/>
    <x v="34"/>
    <d v="2025-02-05T00:00:00"/>
    <x v="2"/>
    <x v="2"/>
    <x v="1"/>
    <x v="0"/>
    <x v="3"/>
    <x v="3"/>
    <x v="5"/>
    <x v="2"/>
  </r>
  <r>
    <s v="TX500825"/>
    <x v="4"/>
    <x v="2"/>
    <n v="57"/>
    <n v="171"/>
    <x v="34"/>
    <d v="2025-02-05T00:00:00"/>
    <x v="1"/>
    <x v="0"/>
    <x v="2"/>
    <x v="0"/>
    <x v="3"/>
    <x v="3"/>
    <x v="5"/>
    <x v="1"/>
  </r>
  <r>
    <s v="TX500826"/>
    <x v="8"/>
    <x v="12"/>
    <n v="28.9"/>
    <n v="115.6"/>
    <x v="34"/>
    <d v="2025-02-08T00:00:00"/>
    <x v="1"/>
    <x v="2"/>
    <x v="0"/>
    <x v="0"/>
    <x v="3"/>
    <x v="5"/>
    <x v="5"/>
    <x v="1"/>
  </r>
  <r>
    <s v="TX500827"/>
    <x v="12"/>
    <x v="9"/>
    <n v="60.7"/>
    <n v="303.5"/>
    <x v="34"/>
    <d v="2025-02-08T00:00:00"/>
    <x v="0"/>
    <x v="1"/>
    <x v="1"/>
    <x v="0"/>
    <x v="3"/>
    <x v="5"/>
    <x v="5"/>
    <x v="0"/>
  </r>
  <r>
    <s v="TX500828"/>
    <x v="6"/>
    <x v="9"/>
    <n v="60.8"/>
    <n v="304"/>
    <x v="34"/>
    <d v="2025-02-08T00:00:00"/>
    <x v="1"/>
    <x v="0"/>
    <x v="1"/>
    <x v="0"/>
    <x v="3"/>
    <x v="5"/>
    <x v="5"/>
    <x v="1"/>
  </r>
  <r>
    <s v="TX500829"/>
    <x v="6"/>
    <x v="9"/>
    <n v="64.599999999999994"/>
    <n v="323"/>
    <x v="34"/>
    <d v="2025-02-05T00:00:00"/>
    <x v="2"/>
    <x v="3"/>
    <x v="0"/>
    <x v="0"/>
    <x v="3"/>
    <x v="3"/>
    <x v="5"/>
    <x v="2"/>
  </r>
  <r>
    <s v="TX500830"/>
    <x v="8"/>
    <x v="0"/>
    <n v="21.9"/>
    <n v="21.9"/>
    <x v="34"/>
    <d v="2025-02-07T00:00:00"/>
    <x v="1"/>
    <x v="1"/>
    <x v="2"/>
    <x v="0"/>
    <x v="4"/>
    <x v="2"/>
    <x v="5"/>
    <x v="1"/>
  </r>
  <r>
    <s v="TX500831"/>
    <x v="4"/>
    <x v="4"/>
    <n v="33.4"/>
    <n v="400.79999999999995"/>
    <x v="34"/>
    <d v="2025-02-06T00:00:00"/>
    <x v="2"/>
    <x v="0"/>
    <x v="0"/>
    <x v="0"/>
    <x v="23"/>
    <x v="1"/>
    <x v="5"/>
    <x v="2"/>
  </r>
  <r>
    <s v="TX500832"/>
    <x v="2"/>
    <x v="0"/>
    <n v="51.7"/>
    <n v="51.7"/>
    <x v="34"/>
    <d v="2025-02-05T00:00:00"/>
    <x v="0"/>
    <x v="0"/>
    <x v="0"/>
    <x v="0"/>
    <x v="6"/>
    <x v="3"/>
    <x v="5"/>
    <x v="0"/>
  </r>
  <r>
    <s v="TX500833"/>
    <x v="1"/>
    <x v="12"/>
    <n v="84.9"/>
    <n v="339.6"/>
    <x v="34"/>
    <d v="2025-02-05T00:00:00"/>
    <x v="2"/>
    <x v="1"/>
    <x v="1"/>
    <x v="0"/>
    <x v="6"/>
    <x v="3"/>
    <x v="5"/>
    <x v="2"/>
  </r>
  <r>
    <s v="TX500834"/>
    <x v="1"/>
    <x v="5"/>
    <n v="62.3"/>
    <n v="685.3"/>
    <x v="34"/>
    <d v="2025-02-05T00:00:00"/>
    <x v="2"/>
    <x v="2"/>
    <x v="2"/>
    <x v="0"/>
    <x v="7"/>
    <x v="3"/>
    <x v="5"/>
    <x v="2"/>
  </r>
  <r>
    <s v="TX500835"/>
    <x v="4"/>
    <x v="0"/>
    <n v="50.7"/>
    <n v="50.7"/>
    <x v="34"/>
    <d v="2025-02-06T00:00:00"/>
    <x v="1"/>
    <x v="2"/>
    <x v="2"/>
    <x v="0"/>
    <x v="8"/>
    <x v="1"/>
    <x v="5"/>
    <x v="1"/>
  </r>
  <r>
    <s v="TX500836"/>
    <x v="18"/>
    <x v="0"/>
    <n v="39.5"/>
    <n v="39.5"/>
    <x v="34"/>
    <d v="2025-02-05T00:00:00"/>
    <x v="1"/>
    <x v="4"/>
    <x v="1"/>
    <x v="0"/>
    <x v="8"/>
    <x v="3"/>
    <x v="5"/>
    <x v="1"/>
  </r>
  <r>
    <s v="TX500837"/>
    <x v="12"/>
    <x v="2"/>
    <n v="30.9"/>
    <n v="92.699999999999989"/>
    <x v="34"/>
    <d v="2025-02-05T00:00:00"/>
    <x v="0"/>
    <x v="4"/>
    <x v="2"/>
    <x v="0"/>
    <x v="8"/>
    <x v="3"/>
    <x v="5"/>
    <x v="0"/>
  </r>
  <r>
    <s v="TX500838"/>
    <x v="1"/>
    <x v="3"/>
    <n v="36.4"/>
    <n v="254.79999999999998"/>
    <x v="34"/>
    <d v="2025-02-07T00:00:00"/>
    <x v="2"/>
    <x v="0"/>
    <x v="2"/>
    <x v="0"/>
    <x v="8"/>
    <x v="2"/>
    <x v="5"/>
    <x v="2"/>
  </r>
  <r>
    <s v="TX500839"/>
    <x v="6"/>
    <x v="8"/>
    <n v="105.6"/>
    <n v="844.8"/>
    <x v="34"/>
    <d v="2025-02-14T00:00:00"/>
    <x v="2"/>
    <x v="0"/>
    <x v="0"/>
    <x v="0"/>
    <x v="8"/>
    <x v="14"/>
    <x v="5"/>
    <x v="2"/>
  </r>
  <r>
    <s v="TX500840"/>
    <x v="8"/>
    <x v="1"/>
    <n v="22.1"/>
    <n v="44.2"/>
    <x v="34"/>
    <d v="2025-02-05T00:00:00"/>
    <x v="2"/>
    <x v="0"/>
    <x v="2"/>
    <x v="0"/>
    <x v="17"/>
    <x v="3"/>
    <x v="5"/>
    <x v="2"/>
  </r>
  <r>
    <s v="TX500841"/>
    <x v="0"/>
    <x v="2"/>
    <n v="22.6"/>
    <n v="67.800000000000011"/>
    <x v="34"/>
    <d v="2025-02-05T00:00:00"/>
    <x v="2"/>
    <x v="2"/>
    <x v="0"/>
    <x v="0"/>
    <x v="17"/>
    <x v="3"/>
    <x v="5"/>
    <x v="2"/>
  </r>
  <r>
    <s v="TX500842"/>
    <x v="10"/>
    <x v="13"/>
    <n v="26.3"/>
    <n v="157.80000000000001"/>
    <x v="34"/>
    <d v="2025-02-04T00:00:00"/>
    <x v="2"/>
    <x v="2"/>
    <x v="0"/>
    <x v="0"/>
    <x v="9"/>
    <x v="7"/>
    <x v="5"/>
    <x v="2"/>
  </r>
  <r>
    <s v="TX500843"/>
    <x v="1"/>
    <x v="12"/>
    <n v="37.799999999999997"/>
    <n v="151.19999999999999"/>
    <x v="34"/>
    <d v="2025-02-05T00:00:00"/>
    <x v="2"/>
    <x v="0"/>
    <x v="2"/>
    <x v="0"/>
    <x v="11"/>
    <x v="3"/>
    <x v="5"/>
    <x v="2"/>
  </r>
  <r>
    <s v="TX500844"/>
    <x v="6"/>
    <x v="14"/>
    <n v="96"/>
    <n v="1632"/>
    <x v="34"/>
    <d v="2025-02-07T00:00:00"/>
    <x v="2"/>
    <x v="4"/>
    <x v="1"/>
    <x v="0"/>
    <x v="18"/>
    <x v="2"/>
    <x v="5"/>
    <x v="2"/>
  </r>
  <r>
    <s v="TX500845"/>
    <x v="1"/>
    <x v="0"/>
    <n v="83.6"/>
    <n v="83.6"/>
    <x v="34"/>
    <d v="2025-02-07T00:00:00"/>
    <x v="2"/>
    <x v="2"/>
    <x v="1"/>
    <x v="0"/>
    <x v="19"/>
    <x v="2"/>
    <x v="5"/>
    <x v="2"/>
  </r>
  <r>
    <s v="TX500846"/>
    <x v="2"/>
    <x v="13"/>
    <n v="72.599999999999994"/>
    <n v="435.59999999999997"/>
    <x v="34"/>
    <d v="2025-02-05T00:00:00"/>
    <x v="2"/>
    <x v="0"/>
    <x v="0"/>
    <x v="0"/>
    <x v="21"/>
    <x v="3"/>
    <x v="5"/>
    <x v="2"/>
  </r>
  <r>
    <s v="TX500847"/>
    <x v="5"/>
    <x v="28"/>
    <n v="69.099999999999994"/>
    <n v="1382"/>
    <x v="35"/>
    <d v="2025-02-11T00:00:00"/>
    <x v="1"/>
    <x v="0"/>
    <x v="2"/>
    <x v="0"/>
    <x v="21"/>
    <x v="4"/>
    <x v="5"/>
    <x v="1"/>
  </r>
  <r>
    <s v="TX500848"/>
    <x v="4"/>
    <x v="1"/>
    <n v="22.6"/>
    <n v="45.2"/>
    <x v="35"/>
    <d v="2025-02-07T00:00:00"/>
    <x v="2"/>
    <x v="1"/>
    <x v="2"/>
    <x v="0"/>
    <x v="21"/>
    <x v="1"/>
    <x v="5"/>
    <x v="2"/>
  </r>
  <r>
    <s v="TX500849"/>
    <x v="6"/>
    <x v="1"/>
    <n v="45.3"/>
    <n v="90.6"/>
    <x v="35"/>
    <d v="2025-02-09T00:00:00"/>
    <x v="1"/>
    <x v="4"/>
    <x v="2"/>
    <x v="0"/>
    <x v="21"/>
    <x v="5"/>
    <x v="5"/>
    <x v="1"/>
  </r>
  <r>
    <s v="TX500850"/>
    <x v="2"/>
    <x v="1"/>
    <n v="115.1"/>
    <n v="230.2"/>
    <x v="35"/>
    <d v="2025-02-06T00:00:00"/>
    <x v="2"/>
    <x v="1"/>
    <x v="0"/>
    <x v="0"/>
    <x v="1"/>
    <x v="3"/>
    <x v="5"/>
    <x v="2"/>
  </r>
  <r>
    <s v="TX500851"/>
    <x v="18"/>
    <x v="12"/>
    <n v="79"/>
    <n v="316"/>
    <x v="35"/>
    <d v="2025-02-07T00:00:00"/>
    <x v="1"/>
    <x v="2"/>
    <x v="4"/>
    <x v="0"/>
    <x v="1"/>
    <x v="1"/>
    <x v="5"/>
    <x v="1"/>
  </r>
  <r>
    <s v="TX500852"/>
    <x v="6"/>
    <x v="9"/>
    <n v="52.8"/>
    <n v="264"/>
    <x v="35"/>
    <d v="2025-02-06T00:00:00"/>
    <x v="2"/>
    <x v="0"/>
    <x v="0"/>
    <x v="0"/>
    <x v="42"/>
    <x v="3"/>
    <x v="5"/>
    <x v="2"/>
  </r>
  <r>
    <s v="TX500853"/>
    <x v="8"/>
    <x v="1"/>
    <n v="34.1"/>
    <n v="68.2"/>
    <x v="35"/>
    <d v="2025-02-06T00:00:00"/>
    <x v="1"/>
    <x v="3"/>
    <x v="2"/>
    <x v="0"/>
    <x v="44"/>
    <x v="3"/>
    <x v="5"/>
    <x v="1"/>
  </r>
  <r>
    <s v="TX500854"/>
    <x v="6"/>
    <x v="9"/>
    <n v="107.9"/>
    <n v="539.5"/>
    <x v="35"/>
    <d v="2025-02-05T00:00:00"/>
    <x v="2"/>
    <x v="0"/>
    <x v="2"/>
    <x v="0"/>
    <x v="50"/>
    <x v="7"/>
    <x v="5"/>
    <x v="2"/>
  </r>
  <r>
    <s v="TX500855"/>
    <x v="8"/>
    <x v="15"/>
    <n v="48.5"/>
    <n v="630.5"/>
    <x v="35"/>
    <d v="2025-02-05T00:00:00"/>
    <x v="1"/>
    <x v="2"/>
    <x v="2"/>
    <x v="0"/>
    <x v="3"/>
    <x v="7"/>
    <x v="5"/>
    <x v="1"/>
  </r>
  <r>
    <s v="TX500856"/>
    <x v="5"/>
    <x v="2"/>
    <n v="34.700000000000003"/>
    <n v="104.10000000000001"/>
    <x v="35"/>
    <d v="2025-02-06T00:00:00"/>
    <x v="0"/>
    <x v="4"/>
    <x v="1"/>
    <x v="0"/>
    <x v="3"/>
    <x v="3"/>
    <x v="5"/>
    <x v="0"/>
  </r>
  <r>
    <s v="TX500857"/>
    <x v="8"/>
    <x v="0"/>
    <n v="16.8"/>
    <n v="16.8"/>
    <x v="35"/>
    <d v="2025-02-07T00:00:00"/>
    <x v="2"/>
    <x v="3"/>
    <x v="0"/>
    <x v="0"/>
    <x v="3"/>
    <x v="1"/>
    <x v="5"/>
    <x v="2"/>
  </r>
  <r>
    <s v="TX500858"/>
    <x v="8"/>
    <x v="13"/>
    <n v="18.3"/>
    <n v="109.80000000000001"/>
    <x v="35"/>
    <d v="2025-02-08T00:00:00"/>
    <x v="2"/>
    <x v="0"/>
    <x v="0"/>
    <x v="0"/>
    <x v="3"/>
    <x v="2"/>
    <x v="5"/>
    <x v="2"/>
  </r>
  <r>
    <s v="TX500859"/>
    <x v="18"/>
    <x v="2"/>
    <n v="55.9"/>
    <n v="167.7"/>
    <x v="35"/>
    <d v="2025-02-11T00:00:00"/>
    <x v="1"/>
    <x v="3"/>
    <x v="1"/>
    <x v="0"/>
    <x v="3"/>
    <x v="4"/>
    <x v="5"/>
    <x v="1"/>
  </r>
  <r>
    <s v="TX500860"/>
    <x v="8"/>
    <x v="2"/>
    <n v="39.200000000000003"/>
    <n v="117.60000000000001"/>
    <x v="35"/>
    <d v="2025-02-07T00:00:00"/>
    <x v="2"/>
    <x v="0"/>
    <x v="1"/>
    <x v="0"/>
    <x v="3"/>
    <x v="1"/>
    <x v="5"/>
    <x v="2"/>
  </r>
  <r>
    <s v="TX500861"/>
    <x v="15"/>
    <x v="12"/>
    <n v="66.5"/>
    <n v="266"/>
    <x v="35"/>
    <d v="2025-02-07T00:00:00"/>
    <x v="0"/>
    <x v="3"/>
    <x v="1"/>
    <x v="0"/>
    <x v="3"/>
    <x v="1"/>
    <x v="5"/>
    <x v="0"/>
  </r>
  <r>
    <s v="TX500862"/>
    <x v="6"/>
    <x v="13"/>
    <n v="52.1"/>
    <n v="312.60000000000002"/>
    <x v="35"/>
    <d v="2025-02-07T00:00:00"/>
    <x v="1"/>
    <x v="1"/>
    <x v="1"/>
    <x v="0"/>
    <x v="16"/>
    <x v="1"/>
    <x v="5"/>
    <x v="1"/>
  </r>
  <r>
    <s v="TX500863"/>
    <x v="8"/>
    <x v="1"/>
    <n v="19"/>
    <n v="38"/>
    <x v="35"/>
    <d v="2025-02-06T00:00:00"/>
    <x v="1"/>
    <x v="4"/>
    <x v="2"/>
    <x v="0"/>
    <x v="6"/>
    <x v="3"/>
    <x v="5"/>
    <x v="1"/>
  </r>
  <r>
    <s v="TX500864"/>
    <x v="7"/>
    <x v="2"/>
    <n v="84.8"/>
    <n v="254.39999999999998"/>
    <x v="35"/>
    <d v="2025-02-07T00:00:00"/>
    <x v="2"/>
    <x v="2"/>
    <x v="0"/>
    <x v="0"/>
    <x v="8"/>
    <x v="1"/>
    <x v="5"/>
    <x v="2"/>
  </r>
  <r>
    <s v="TX500865"/>
    <x v="2"/>
    <x v="12"/>
    <n v="63.9"/>
    <n v="255.6"/>
    <x v="35"/>
    <d v="2025-02-08T00:00:00"/>
    <x v="2"/>
    <x v="0"/>
    <x v="0"/>
    <x v="0"/>
    <x v="8"/>
    <x v="2"/>
    <x v="5"/>
    <x v="2"/>
  </r>
  <r>
    <s v="TX500866"/>
    <x v="2"/>
    <x v="2"/>
    <n v="65.5"/>
    <n v="196.5"/>
    <x v="35"/>
    <d v="2025-02-05T00:00:00"/>
    <x v="2"/>
    <x v="1"/>
    <x v="1"/>
    <x v="0"/>
    <x v="8"/>
    <x v="7"/>
    <x v="5"/>
    <x v="2"/>
  </r>
  <r>
    <s v="TX500867"/>
    <x v="12"/>
    <x v="1"/>
    <n v="116.2"/>
    <n v="232.4"/>
    <x v="35"/>
    <d v="2025-02-11T00:00:00"/>
    <x v="1"/>
    <x v="3"/>
    <x v="0"/>
    <x v="0"/>
    <x v="17"/>
    <x v="4"/>
    <x v="5"/>
    <x v="1"/>
  </r>
  <r>
    <s v="TX500868"/>
    <x v="10"/>
    <x v="12"/>
    <n v="22.9"/>
    <n v="91.6"/>
    <x v="35"/>
    <d v="2025-02-07T00:00:00"/>
    <x v="2"/>
    <x v="2"/>
    <x v="1"/>
    <x v="0"/>
    <x v="38"/>
    <x v="1"/>
    <x v="5"/>
    <x v="2"/>
  </r>
  <r>
    <s v="TX500869"/>
    <x v="10"/>
    <x v="2"/>
    <n v="53.7"/>
    <n v="161.10000000000002"/>
    <x v="35"/>
    <d v="2025-02-06T00:00:00"/>
    <x v="1"/>
    <x v="0"/>
    <x v="4"/>
    <x v="0"/>
    <x v="18"/>
    <x v="3"/>
    <x v="5"/>
    <x v="1"/>
  </r>
  <r>
    <s v="TX500870"/>
    <x v="6"/>
    <x v="9"/>
    <n v="43.2"/>
    <n v="216"/>
    <x v="35"/>
    <d v="2025-02-07T00:00:00"/>
    <x v="2"/>
    <x v="0"/>
    <x v="0"/>
    <x v="0"/>
    <x v="19"/>
    <x v="1"/>
    <x v="5"/>
    <x v="2"/>
  </r>
  <r>
    <s v="TX500871"/>
    <x v="1"/>
    <x v="2"/>
    <n v="84.5"/>
    <n v="253.5"/>
    <x v="35"/>
    <d v="2025-02-07T00:00:00"/>
    <x v="1"/>
    <x v="2"/>
    <x v="2"/>
    <x v="0"/>
    <x v="51"/>
    <x v="1"/>
    <x v="5"/>
    <x v="1"/>
  </r>
  <r>
    <s v="TX500872"/>
    <x v="3"/>
    <x v="1"/>
    <n v="42.2"/>
    <n v="84.4"/>
    <x v="35"/>
    <d v="2025-02-06T00:00:00"/>
    <x v="2"/>
    <x v="1"/>
    <x v="2"/>
    <x v="0"/>
    <x v="1"/>
    <x v="3"/>
    <x v="5"/>
    <x v="2"/>
  </r>
  <r>
    <s v="TX500873"/>
    <x v="2"/>
    <x v="13"/>
    <n v="94.7"/>
    <n v="568.20000000000005"/>
    <x v="35"/>
    <d v="2025-02-08T00:00:00"/>
    <x v="2"/>
    <x v="1"/>
    <x v="2"/>
    <x v="0"/>
    <x v="2"/>
    <x v="2"/>
    <x v="5"/>
    <x v="2"/>
  </r>
  <r>
    <s v="TX500874"/>
    <x v="8"/>
    <x v="16"/>
    <n v="16.7"/>
    <n v="300.59999999999997"/>
    <x v="35"/>
    <d v="2025-02-17T00:00:00"/>
    <x v="2"/>
    <x v="0"/>
    <x v="2"/>
    <x v="0"/>
    <x v="2"/>
    <x v="13"/>
    <x v="5"/>
    <x v="2"/>
  </r>
  <r>
    <s v="TX500875"/>
    <x v="2"/>
    <x v="1"/>
    <n v="83.6"/>
    <n v="167.2"/>
    <x v="35"/>
    <d v="2025-02-11T00:00:00"/>
    <x v="2"/>
    <x v="1"/>
    <x v="0"/>
    <x v="0"/>
    <x v="3"/>
    <x v="4"/>
    <x v="5"/>
    <x v="2"/>
  </r>
  <r>
    <s v="TX500876"/>
    <x v="7"/>
    <x v="13"/>
    <n v="33.6"/>
    <n v="201.60000000000002"/>
    <x v="36"/>
    <d v="2025-02-07T00:00:00"/>
    <x v="2"/>
    <x v="3"/>
    <x v="0"/>
    <x v="0"/>
    <x v="3"/>
    <x v="3"/>
    <x v="5"/>
    <x v="2"/>
  </r>
  <r>
    <s v="TX500877"/>
    <x v="7"/>
    <x v="1"/>
    <n v="64.7"/>
    <n v="129.4"/>
    <x v="36"/>
    <d v="2025-02-08T00:00:00"/>
    <x v="1"/>
    <x v="1"/>
    <x v="2"/>
    <x v="0"/>
    <x v="3"/>
    <x v="1"/>
    <x v="5"/>
    <x v="1"/>
  </r>
  <r>
    <s v="TX500878"/>
    <x v="0"/>
    <x v="2"/>
    <n v="15.7"/>
    <n v="47.099999999999994"/>
    <x v="36"/>
    <d v="2025-02-12T00:00:00"/>
    <x v="2"/>
    <x v="0"/>
    <x v="0"/>
    <x v="0"/>
    <x v="3"/>
    <x v="4"/>
    <x v="5"/>
    <x v="2"/>
  </r>
  <r>
    <s v="TX500879"/>
    <x v="15"/>
    <x v="13"/>
    <n v="49.4"/>
    <n v="296.39999999999998"/>
    <x v="36"/>
    <d v="2025-02-06T00:00:00"/>
    <x v="1"/>
    <x v="1"/>
    <x v="0"/>
    <x v="0"/>
    <x v="3"/>
    <x v="7"/>
    <x v="5"/>
    <x v="1"/>
  </r>
  <r>
    <s v="TX500880"/>
    <x v="10"/>
    <x v="13"/>
    <n v="37"/>
    <n v="222"/>
    <x v="36"/>
    <d v="2025-02-09T00:00:00"/>
    <x v="2"/>
    <x v="1"/>
    <x v="2"/>
    <x v="0"/>
    <x v="3"/>
    <x v="2"/>
    <x v="5"/>
    <x v="2"/>
  </r>
  <r>
    <s v="TX500881"/>
    <x v="2"/>
    <x v="1"/>
    <n v="83.7"/>
    <n v="167.4"/>
    <x v="36"/>
    <d v="2025-02-08T00:00:00"/>
    <x v="2"/>
    <x v="3"/>
    <x v="2"/>
    <x v="0"/>
    <x v="3"/>
    <x v="1"/>
    <x v="5"/>
    <x v="2"/>
  </r>
  <r>
    <s v="TX500882"/>
    <x v="1"/>
    <x v="9"/>
    <n v="35.1"/>
    <n v="175.5"/>
    <x v="36"/>
    <d v="2025-02-07T00:00:00"/>
    <x v="2"/>
    <x v="0"/>
    <x v="0"/>
    <x v="0"/>
    <x v="3"/>
    <x v="3"/>
    <x v="5"/>
    <x v="2"/>
  </r>
  <r>
    <s v="TX500883"/>
    <x v="16"/>
    <x v="8"/>
    <n v="74"/>
    <n v="592"/>
    <x v="36"/>
    <d v="2025-02-07T00:00:00"/>
    <x v="2"/>
    <x v="4"/>
    <x v="0"/>
    <x v="0"/>
    <x v="37"/>
    <x v="3"/>
    <x v="5"/>
    <x v="2"/>
  </r>
  <r>
    <s v="TX500884"/>
    <x v="6"/>
    <x v="25"/>
    <n v="55.5"/>
    <n v="1332"/>
    <x v="36"/>
    <d v="2025-02-09T00:00:00"/>
    <x v="1"/>
    <x v="3"/>
    <x v="0"/>
    <x v="0"/>
    <x v="49"/>
    <x v="2"/>
    <x v="5"/>
    <x v="1"/>
  </r>
  <r>
    <s v="TX500885"/>
    <x v="11"/>
    <x v="1"/>
    <n v="38.9"/>
    <n v="77.8"/>
    <x v="36"/>
    <d v="2025-02-08T00:00:00"/>
    <x v="2"/>
    <x v="1"/>
    <x v="2"/>
    <x v="0"/>
    <x v="25"/>
    <x v="1"/>
    <x v="5"/>
    <x v="2"/>
  </r>
  <r>
    <s v="TX500886"/>
    <x v="16"/>
    <x v="1"/>
    <n v="64.599999999999994"/>
    <n v="129.19999999999999"/>
    <x v="36"/>
    <d v="2025-02-13T00:00:00"/>
    <x v="1"/>
    <x v="2"/>
    <x v="1"/>
    <x v="0"/>
    <x v="25"/>
    <x v="6"/>
    <x v="5"/>
    <x v="1"/>
  </r>
  <r>
    <s v="TX500887"/>
    <x v="2"/>
    <x v="2"/>
    <n v="95.3"/>
    <n v="285.89999999999998"/>
    <x v="36"/>
    <d v="2025-02-07T00:00:00"/>
    <x v="1"/>
    <x v="0"/>
    <x v="0"/>
    <x v="0"/>
    <x v="5"/>
    <x v="3"/>
    <x v="5"/>
    <x v="1"/>
  </r>
  <r>
    <s v="TX500888"/>
    <x v="13"/>
    <x v="2"/>
    <n v="25.8"/>
    <n v="77.400000000000006"/>
    <x v="36"/>
    <d v="2025-02-07T00:00:00"/>
    <x v="2"/>
    <x v="1"/>
    <x v="1"/>
    <x v="0"/>
    <x v="6"/>
    <x v="3"/>
    <x v="5"/>
    <x v="2"/>
  </r>
  <r>
    <s v="TX500889"/>
    <x v="0"/>
    <x v="1"/>
    <n v="11.6"/>
    <n v="23.2"/>
    <x v="36"/>
    <d v="2025-02-10T00:00:00"/>
    <x v="2"/>
    <x v="1"/>
    <x v="1"/>
    <x v="0"/>
    <x v="6"/>
    <x v="5"/>
    <x v="5"/>
    <x v="2"/>
  </r>
  <r>
    <s v="TX500890"/>
    <x v="7"/>
    <x v="0"/>
    <n v="52.3"/>
    <n v="52.3"/>
    <x v="36"/>
    <d v="2025-02-07T00:00:00"/>
    <x v="2"/>
    <x v="1"/>
    <x v="0"/>
    <x v="0"/>
    <x v="8"/>
    <x v="3"/>
    <x v="5"/>
    <x v="2"/>
  </r>
  <r>
    <s v="TX500891"/>
    <x v="2"/>
    <x v="7"/>
    <n v="112.2"/>
    <n v="1122"/>
    <x v="36"/>
    <d v="2025-02-07T00:00:00"/>
    <x v="2"/>
    <x v="1"/>
    <x v="1"/>
    <x v="0"/>
    <x v="8"/>
    <x v="3"/>
    <x v="5"/>
    <x v="2"/>
  </r>
  <r>
    <s v="TX500892"/>
    <x v="4"/>
    <x v="9"/>
    <n v="34.6"/>
    <n v="173"/>
    <x v="36"/>
    <d v="2025-02-08T00:00:00"/>
    <x v="1"/>
    <x v="2"/>
    <x v="0"/>
    <x v="0"/>
    <x v="8"/>
    <x v="1"/>
    <x v="5"/>
    <x v="1"/>
  </r>
  <r>
    <s v="TX500893"/>
    <x v="14"/>
    <x v="12"/>
    <n v="20.100000000000001"/>
    <n v="80.400000000000006"/>
    <x v="36"/>
    <d v="2025-02-12T00:00:00"/>
    <x v="1"/>
    <x v="1"/>
    <x v="2"/>
    <x v="0"/>
    <x v="8"/>
    <x v="4"/>
    <x v="5"/>
    <x v="1"/>
  </r>
  <r>
    <s v="TX500894"/>
    <x v="2"/>
    <x v="12"/>
    <n v="56.4"/>
    <n v="225.6"/>
    <x v="36"/>
    <d v="2025-02-08T00:00:00"/>
    <x v="2"/>
    <x v="2"/>
    <x v="0"/>
    <x v="0"/>
    <x v="10"/>
    <x v="1"/>
    <x v="5"/>
    <x v="2"/>
  </r>
  <r>
    <s v="TX500895"/>
    <x v="13"/>
    <x v="11"/>
    <n v="55.3"/>
    <n v="497.7"/>
    <x v="36"/>
    <d v="2025-02-08T00:00:00"/>
    <x v="2"/>
    <x v="1"/>
    <x v="4"/>
    <x v="0"/>
    <x v="11"/>
    <x v="1"/>
    <x v="5"/>
    <x v="2"/>
  </r>
  <r>
    <s v="TX500896"/>
    <x v="2"/>
    <x v="31"/>
    <n v="75.5"/>
    <n v="2114"/>
    <x v="36"/>
    <d v="2025-02-07T00:00:00"/>
    <x v="2"/>
    <x v="0"/>
    <x v="0"/>
    <x v="0"/>
    <x v="11"/>
    <x v="3"/>
    <x v="5"/>
    <x v="2"/>
  </r>
  <r>
    <s v="TX500897"/>
    <x v="8"/>
    <x v="0"/>
    <n v="23.6"/>
    <n v="23.6"/>
    <x v="36"/>
    <d v="2025-02-11T00:00:00"/>
    <x v="2"/>
    <x v="0"/>
    <x v="0"/>
    <x v="0"/>
    <x v="19"/>
    <x v="0"/>
    <x v="5"/>
    <x v="2"/>
  </r>
  <r>
    <s v="TX500898"/>
    <x v="9"/>
    <x v="1"/>
    <n v="70.7"/>
    <n v="141.4"/>
    <x v="36"/>
    <d v="2025-02-08T00:00:00"/>
    <x v="2"/>
    <x v="2"/>
    <x v="0"/>
    <x v="0"/>
    <x v="19"/>
    <x v="1"/>
    <x v="5"/>
    <x v="2"/>
  </r>
  <r>
    <s v="TX500899"/>
    <x v="12"/>
    <x v="1"/>
    <n v="43.2"/>
    <n v="86.4"/>
    <x v="36"/>
    <d v="2025-02-07T00:00:00"/>
    <x v="2"/>
    <x v="2"/>
    <x v="0"/>
    <x v="0"/>
    <x v="31"/>
    <x v="3"/>
    <x v="5"/>
    <x v="2"/>
  </r>
  <r>
    <s v="TX500900"/>
    <x v="9"/>
    <x v="11"/>
    <n v="70"/>
    <n v="630"/>
    <x v="36"/>
    <d v="2025-02-07T00:00:00"/>
    <x v="0"/>
    <x v="1"/>
    <x v="0"/>
    <x v="0"/>
    <x v="52"/>
    <x v="3"/>
    <x v="5"/>
    <x v="0"/>
  </r>
  <r>
    <s v="TX500901"/>
    <x v="0"/>
    <x v="1"/>
    <n v="20.5"/>
    <n v="41"/>
    <x v="36"/>
    <d v="2025-02-08T00:00:00"/>
    <x v="2"/>
    <x v="2"/>
    <x v="4"/>
    <x v="0"/>
    <x v="13"/>
    <x v="1"/>
    <x v="5"/>
    <x v="2"/>
  </r>
  <r>
    <s v="TX500902"/>
    <x v="0"/>
    <x v="12"/>
    <n v="29.1"/>
    <n v="116.4"/>
    <x v="36"/>
    <d v="2025-02-07T00:00:00"/>
    <x v="2"/>
    <x v="3"/>
    <x v="0"/>
    <x v="0"/>
    <x v="28"/>
    <x v="3"/>
    <x v="5"/>
    <x v="2"/>
  </r>
  <r>
    <s v="TX500903"/>
    <x v="6"/>
    <x v="11"/>
    <n v="53.6"/>
    <n v="482.40000000000003"/>
    <x v="36"/>
    <d v="2025-02-07T00:00:00"/>
    <x v="1"/>
    <x v="2"/>
    <x v="1"/>
    <x v="0"/>
    <x v="3"/>
    <x v="3"/>
    <x v="5"/>
    <x v="1"/>
  </r>
  <r>
    <s v="TX500904"/>
    <x v="6"/>
    <x v="9"/>
    <n v="72.3"/>
    <n v="361.5"/>
    <x v="36"/>
    <d v="2025-02-08T00:00:00"/>
    <x v="2"/>
    <x v="1"/>
    <x v="0"/>
    <x v="0"/>
    <x v="3"/>
    <x v="1"/>
    <x v="5"/>
    <x v="2"/>
  </r>
  <r>
    <s v="TX500905"/>
    <x v="13"/>
    <x v="12"/>
    <n v="22.6"/>
    <n v="90.4"/>
    <x v="36"/>
    <d v="2025-02-09T00:00:00"/>
    <x v="3"/>
    <x v="0"/>
    <x v="1"/>
    <x v="0"/>
    <x v="3"/>
    <x v="2"/>
    <x v="5"/>
    <x v="3"/>
  </r>
  <r>
    <s v="TX500906"/>
    <x v="9"/>
    <x v="1"/>
    <n v="44.2"/>
    <n v="88.4"/>
    <x v="36"/>
    <d v="2025-02-10T00:00:00"/>
    <x v="0"/>
    <x v="2"/>
    <x v="4"/>
    <x v="0"/>
    <x v="3"/>
    <x v="5"/>
    <x v="5"/>
    <x v="0"/>
  </r>
  <r>
    <s v="TX500907"/>
    <x v="9"/>
    <x v="2"/>
    <n v="94.1"/>
    <n v="282.29999999999995"/>
    <x v="36"/>
    <d v="2025-02-19T00:00:00"/>
    <x v="2"/>
    <x v="2"/>
    <x v="2"/>
    <x v="0"/>
    <x v="3"/>
    <x v="10"/>
    <x v="5"/>
    <x v="2"/>
  </r>
  <r>
    <s v="TX500908"/>
    <x v="8"/>
    <x v="2"/>
    <n v="17.899999999999999"/>
    <n v="53.699999999999996"/>
    <x v="36"/>
    <d v="2025-02-08T00:00:00"/>
    <x v="1"/>
    <x v="1"/>
    <x v="1"/>
    <x v="0"/>
    <x v="3"/>
    <x v="1"/>
    <x v="5"/>
    <x v="1"/>
  </r>
  <r>
    <s v="TX500909"/>
    <x v="12"/>
    <x v="3"/>
    <n v="52.7"/>
    <n v="368.90000000000003"/>
    <x v="36"/>
    <d v="2025-02-07T00:00:00"/>
    <x v="1"/>
    <x v="1"/>
    <x v="1"/>
    <x v="0"/>
    <x v="3"/>
    <x v="3"/>
    <x v="5"/>
    <x v="1"/>
  </r>
  <r>
    <s v="TX500910"/>
    <x v="8"/>
    <x v="0"/>
    <n v="36.799999999999997"/>
    <n v="36.799999999999997"/>
    <x v="36"/>
    <d v="2025-02-06T00:00:00"/>
    <x v="0"/>
    <x v="0"/>
    <x v="2"/>
    <x v="0"/>
    <x v="3"/>
    <x v="7"/>
    <x v="5"/>
    <x v="0"/>
  </r>
  <r>
    <s v="TX500911"/>
    <x v="4"/>
    <x v="0"/>
    <n v="52.5"/>
    <n v="52.5"/>
    <x v="36"/>
    <d v="2025-02-07T00:00:00"/>
    <x v="1"/>
    <x v="0"/>
    <x v="1"/>
    <x v="0"/>
    <x v="6"/>
    <x v="3"/>
    <x v="5"/>
    <x v="1"/>
  </r>
  <r>
    <s v="TX500912"/>
    <x v="2"/>
    <x v="1"/>
    <n v="133.80000000000001"/>
    <n v="267.60000000000002"/>
    <x v="36"/>
    <d v="2025-02-08T00:00:00"/>
    <x v="1"/>
    <x v="0"/>
    <x v="1"/>
    <x v="0"/>
    <x v="7"/>
    <x v="1"/>
    <x v="5"/>
    <x v="1"/>
  </r>
  <r>
    <s v="TX500913"/>
    <x v="6"/>
    <x v="1"/>
    <n v="53.2"/>
    <n v="106.4"/>
    <x v="36"/>
    <d v="2025-02-08T00:00:00"/>
    <x v="1"/>
    <x v="0"/>
    <x v="0"/>
    <x v="0"/>
    <x v="17"/>
    <x v="1"/>
    <x v="5"/>
    <x v="1"/>
  </r>
  <r>
    <s v="TX500914"/>
    <x v="14"/>
    <x v="13"/>
    <n v="18.7"/>
    <n v="112.19999999999999"/>
    <x v="36"/>
    <d v="2025-02-08T00:00:00"/>
    <x v="0"/>
    <x v="0"/>
    <x v="1"/>
    <x v="0"/>
    <x v="10"/>
    <x v="1"/>
    <x v="5"/>
    <x v="0"/>
  </r>
  <r>
    <s v="TX500915"/>
    <x v="6"/>
    <x v="12"/>
    <n v="108.8"/>
    <n v="435.2"/>
    <x v="36"/>
    <d v="2025-02-07T00:00:00"/>
    <x v="2"/>
    <x v="3"/>
    <x v="2"/>
    <x v="0"/>
    <x v="11"/>
    <x v="3"/>
    <x v="5"/>
    <x v="2"/>
  </r>
  <r>
    <s v="TX500916"/>
    <x v="15"/>
    <x v="9"/>
    <n v="38.5"/>
    <n v="192.5"/>
    <x v="36"/>
    <d v="2025-02-10T00:00:00"/>
    <x v="2"/>
    <x v="0"/>
    <x v="1"/>
    <x v="0"/>
    <x v="14"/>
    <x v="5"/>
    <x v="5"/>
    <x v="2"/>
  </r>
  <r>
    <s v="TX500917"/>
    <x v="10"/>
    <x v="7"/>
    <n v="46.5"/>
    <n v="465"/>
    <x v="36"/>
    <d v="2025-02-08T00:00:00"/>
    <x v="1"/>
    <x v="2"/>
    <x v="1"/>
    <x v="0"/>
    <x v="2"/>
    <x v="1"/>
    <x v="5"/>
    <x v="1"/>
  </r>
  <r>
    <s v="TX500918"/>
    <x v="2"/>
    <x v="2"/>
    <n v="75.8"/>
    <n v="227.39999999999998"/>
    <x v="36"/>
    <d v="2025-02-10T00:00:00"/>
    <x v="2"/>
    <x v="1"/>
    <x v="4"/>
    <x v="0"/>
    <x v="44"/>
    <x v="5"/>
    <x v="5"/>
    <x v="2"/>
  </r>
  <r>
    <s v="TX500919"/>
    <x v="8"/>
    <x v="0"/>
    <n v="20.9"/>
    <n v="20.9"/>
    <x v="36"/>
    <d v="2025-02-10T00:00:00"/>
    <x v="1"/>
    <x v="0"/>
    <x v="0"/>
    <x v="0"/>
    <x v="22"/>
    <x v="5"/>
    <x v="5"/>
    <x v="1"/>
  </r>
  <r>
    <s v="TX500920"/>
    <x v="18"/>
    <x v="2"/>
    <n v="47.4"/>
    <n v="142.19999999999999"/>
    <x v="36"/>
    <d v="2025-02-09T00:00:00"/>
    <x v="2"/>
    <x v="0"/>
    <x v="0"/>
    <x v="0"/>
    <x v="3"/>
    <x v="2"/>
    <x v="5"/>
    <x v="2"/>
  </r>
  <r>
    <s v="TX500921"/>
    <x v="9"/>
    <x v="1"/>
    <n v="53.8"/>
    <n v="107.6"/>
    <x v="36"/>
    <d v="2025-02-07T00:00:00"/>
    <x v="0"/>
    <x v="0"/>
    <x v="1"/>
    <x v="0"/>
    <x v="3"/>
    <x v="3"/>
    <x v="5"/>
    <x v="0"/>
  </r>
  <r>
    <s v="TX500922"/>
    <x v="8"/>
    <x v="2"/>
    <n v="24.6"/>
    <n v="73.800000000000011"/>
    <x v="36"/>
    <d v="2025-02-08T00:00:00"/>
    <x v="3"/>
    <x v="1"/>
    <x v="2"/>
    <x v="0"/>
    <x v="3"/>
    <x v="1"/>
    <x v="5"/>
    <x v="3"/>
  </r>
  <r>
    <s v="TX500923"/>
    <x v="9"/>
    <x v="2"/>
    <n v="70.900000000000006"/>
    <n v="212.70000000000002"/>
    <x v="36"/>
    <d v="2025-02-11T00:00:00"/>
    <x v="2"/>
    <x v="2"/>
    <x v="2"/>
    <x v="0"/>
    <x v="3"/>
    <x v="0"/>
    <x v="5"/>
    <x v="2"/>
  </r>
  <r>
    <s v="TX500924"/>
    <x v="17"/>
    <x v="2"/>
    <n v="31.9"/>
    <n v="95.699999999999989"/>
    <x v="36"/>
    <d v="2025-02-08T00:00:00"/>
    <x v="2"/>
    <x v="2"/>
    <x v="2"/>
    <x v="0"/>
    <x v="3"/>
    <x v="1"/>
    <x v="5"/>
    <x v="2"/>
  </r>
  <r>
    <s v="TX500925"/>
    <x v="0"/>
    <x v="1"/>
    <n v="20.399999999999999"/>
    <n v="40.799999999999997"/>
    <x v="36"/>
    <d v="2025-02-10T00:00:00"/>
    <x v="1"/>
    <x v="3"/>
    <x v="2"/>
    <x v="0"/>
    <x v="3"/>
    <x v="5"/>
    <x v="5"/>
    <x v="1"/>
  </r>
  <r>
    <s v="TX500926"/>
    <x v="8"/>
    <x v="1"/>
    <n v="18.600000000000001"/>
    <n v="37.200000000000003"/>
    <x v="36"/>
    <d v="2025-02-08T00:00:00"/>
    <x v="0"/>
    <x v="0"/>
    <x v="1"/>
    <x v="0"/>
    <x v="3"/>
    <x v="1"/>
    <x v="5"/>
    <x v="0"/>
  </r>
  <r>
    <s v="TX500927"/>
    <x v="4"/>
    <x v="9"/>
    <n v="48.3"/>
    <n v="241.5"/>
    <x v="36"/>
    <d v="2025-02-08T00:00:00"/>
    <x v="2"/>
    <x v="1"/>
    <x v="0"/>
    <x v="0"/>
    <x v="3"/>
    <x v="1"/>
    <x v="5"/>
    <x v="2"/>
  </r>
  <r>
    <s v="TX500928"/>
    <x v="0"/>
    <x v="12"/>
    <n v="27.7"/>
    <n v="110.8"/>
    <x v="36"/>
    <d v="2025-02-08T00:00:00"/>
    <x v="2"/>
    <x v="0"/>
    <x v="0"/>
    <x v="0"/>
    <x v="3"/>
    <x v="1"/>
    <x v="5"/>
    <x v="2"/>
  </r>
  <r>
    <s v="TX500929"/>
    <x v="4"/>
    <x v="9"/>
    <n v="22.5"/>
    <n v="112.5"/>
    <x v="36"/>
    <d v="2025-02-08T00:00:00"/>
    <x v="2"/>
    <x v="4"/>
    <x v="2"/>
    <x v="0"/>
    <x v="3"/>
    <x v="1"/>
    <x v="5"/>
    <x v="2"/>
  </r>
  <r>
    <s v="TX500930"/>
    <x v="17"/>
    <x v="9"/>
    <n v="21.6"/>
    <n v="108"/>
    <x v="36"/>
    <d v="2025-02-14T00:00:00"/>
    <x v="2"/>
    <x v="0"/>
    <x v="1"/>
    <x v="0"/>
    <x v="3"/>
    <x v="9"/>
    <x v="5"/>
    <x v="2"/>
  </r>
  <r>
    <s v="TX500931"/>
    <x v="10"/>
    <x v="3"/>
    <n v="26.3"/>
    <n v="184.1"/>
    <x v="36"/>
    <d v="2025-02-06T00:00:00"/>
    <x v="2"/>
    <x v="2"/>
    <x v="1"/>
    <x v="0"/>
    <x v="3"/>
    <x v="7"/>
    <x v="5"/>
    <x v="2"/>
  </r>
  <r>
    <s v="TX500932"/>
    <x v="6"/>
    <x v="3"/>
    <n v="103"/>
    <n v="721"/>
    <x v="37"/>
    <d v="2025-02-08T00:00:00"/>
    <x v="1"/>
    <x v="0"/>
    <x v="2"/>
    <x v="0"/>
    <x v="6"/>
    <x v="3"/>
    <x v="5"/>
    <x v="1"/>
  </r>
  <r>
    <s v="TX500933"/>
    <x v="5"/>
    <x v="20"/>
    <n v="46.6"/>
    <n v="699"/>
    <x v="37"/>
    <d v="2025-02-08T00:00:00"/>
    <x v="2"/>
    <x v="0"/>
    <x v="1"/>
    <x v="0"/>
    <x v="6"/>
    <x v="3"/>
    <x v="5"/>
    <x v="2"/>
  </r>
  <r>
    <s v="TX500934"/>
    <x v="0"/>
    <x v="9"/>
    <n v="32.200000000000003"/>
    <n v="161"/>
    <x v="37"/>
    <d v="2025-02-10T00:00:00"/>
    <x v="2"/>
    <x v="0"/>
    <x v="2"/>
    <x v="0"/>
    <x v="36"/>
    <x v="2"/>
    <x v="5"/>
    <x v="2"/>
  </r>
  <r>
    <s v="TX500935"/>
    <x v="8"/>
    <x v="2"/>
    <n v="22"/>
    <n v="66"/>
    <x v="37"/>
    <d v="2025-02-14T00:00:00"/>
    <x v="1"/>
    <x v="1"/>
    <x v="0"/>
    <x v="0"/>
    <x v="7"/>
    <x v="6"/>
    <x v="5"/>
    <x v="1"/>
  </r>
  <r>
    <s v="TX500936"/>
    <x v="0"/>
    <x v="1"/>
    <n v="25.2"/>
    <n v="50.4"/>
    <x v="37"/>
    <d v="2025-02-11T00:00:00"/>
    <x v="2"/>
    <x v="0"/>
    <x v="0"/>
    <x v="0"/>
    <x v="7"/>
    <x v="5"/>
    <x v="5"/>
    <x v="2"/>
  </r>
  <r>
    <s v="TX500937"/>
    <x v="1"/>
    <x v="13"/>
    <n v="68.7"/>
    <n v="412.20000000000005"/>
    <x v="37"/>
    <d v="2025-02-09T00:00:00"/>
    <x v="1"/>
    <x v="4"/>
    <x v="0"/>
    <x v="0"/>
    <x v="8"/>
    <x v="1"/>
    <x v="5"/>
    <x v="1"/>
  </r>
  <r>
    <s v="TX500938"/>
    <x v="0"/>
    <x v="2"/>
    <n v="22.2"/>
    <n v="66.599999999999994"/>
    <x v="37"/>
    <d v="2025-02-10T00:00:00"/>
    <x v="1"/>
    <x v="2"/>
    <x v="2"/>
    <x v="0"/>
    <x v="8"/>
    <x v="2"/>
    <x v="5"/>
    <x v="1"/>
  </r>
  <r>
    <s v="TX500939"/>
    <x v="1"/>
    <x v="3"/>
    <n v="36"/>
    <n v="252"/>
    <x v="37"/>
    <d v="2025-02-08T00:00:00"/>
    <x v="2"/>
    <x v="1"/>
    <x v="0"/>
    <x v="0"/>
    <x v="8"/>
    <x v="3"/>
    <x v="5"/>
    <x v="2"/>
  </r>
  <r>
    <s v="TX500940"/>
    <x v="18"/>
    <x v="0"/>
    <n v="50.6"/>
    <n v="50.6"/>
    <x v="37"/>
    <d v="2025-02-09T00:00:00"/>
    <x v="2"/>
    <x v="0"/>
    <x v="1"/>
    <x v="0"/>
    <x v="8"/>
    <x v="1"/>
    <x v="5"/>
    <x v="2"/>
  </r>
  <r>
    <s v="TX500941"/>
    <x v="15"/>
    <x v="1"/>
    <n v="44.9"/>
    <n v="89.8"/>
    <x v="37"/>
    <d v="2025-02-09T00:00:00"/>
    <x v="1"/>
    <x v="0"/>
    <x v="1"/>
    <x v="0"/>
    <x v="8"/>
    <x v="1"/>
    <x v="5"/>
    <x v="1"/>
  </r>
  <r>
    <s v="TX500942"/>
    <x v="6"/>
    <x v="2"/>
    <n v="71.599999999999994"/>
    <n v="214.79999999999998"/>
    <x v="37"/>
    <d v="2025-02-11T00:00:00"/>
    <x v="1"/>
    <x v="1"/>
    <x v="2"/>
    <x v="0"/>
    <x v="10"/>
    <x v="5"/>
    <x v="5"/>
    <x v="1"/>
  </r>
  <r>
    <s v="TX500943"/>
    <x v="6"/>
    <x v="13"/>
    <n v="51.5"/>
    <n v="309"/>
    <x v="37"/>
    <d v="2025-02-09T00:00:00"/>
    <x v="0"/>
    <x v="4"/>
    <x v="0"/>
    <x v="0"/>
    <x v="11"/>
    <x v="1"/>
    <x v="5"/>
    <x v="0"/>
  </r>
  <r>
    <s v="TX500944"/>
    <x v="7"/>
    <x v="9"/>
    <n v="55.5"/>
    <n v="277.5"/>
    <x v="37"/>
    <d v="2025-02-08T00:00:00"/>
    <x v="1"/>
    <x v="1"/>
    <x v="1"/>
    <x v="0"/>
    <x v="11"/>
    <x v="3"/>
    <x v="5"/>
    <x v="1"/>
  </r>
  <r>
    <s v="TX500945"/>
    <x v="6"/>
    <x v="0"/>
    <n v="51.7"/>
    <n v="51.7"/>
    <x v="37"/>
    <d v="2025-02-21T00:00:00"/>
    <x v="1"/>
    <x v="2"/>
    <x v="0"/>
    <x v="0"/>
    <x v="19"/>
    <x v="12"/>
    <x v="5"/>
    <x v="1"/>
  </r>
  <r>
    <s v="TX500946"/>
    <x v="8"/>
    <x v="38"/>
    <n v="45.5"/>
    <n v="955.5"/>
    <x v="37"/>
    <d v="2025-02-08T00:00:00"/>
    <x v="2"/>
    <x v="3"/>
    <x v="2"/>
    <x v="0"/>
    <x v="19"/>
    <x v="3"/>
    <x v="5"/>
    <x v="2"/>
  </r>
  <r>
    <s v="TX500947"/>
    <x v="8"/>
    <x v="1"/>
    <n v="33.799999999999997"/>
    <n v="67.599999999999994"/>
    <x v="37"/>
    <d v="2025-02-13T00:00:00"/>
    <x v="2"/>
    <x v="3"/>
    <x v="0"/>
    <x v="0"/>
    <x v="20"/>
    <x v="4"/>
    <x v="5"/>
    <x v="2"/>
  </r>
  <r>
    <s v="TX500948"/>
    <x v="3"/>
    <x v="2"/>
    <n v="76.5"/>
    <n v="229.5"/>
    <x v="37"/>
    <d v="2025-02-08T00:00:00"/>
    <x v="2"/>
    <x v="0"/>
    <x v="1"/>
    <x v="0"/>
    <x v="21"/>
    <x v="3"/>
    <x v="5"/>
    <x v="2"/>
  </r>
  <r>
    <s v="TX500949"/>
    <x v="9"/>
    <x v="2"/>
    <n v="42.6"/>
    <n v="127.80000000000001"/>
    <x v="37"/>
    <d v="2025-02-13T00:00:00"/>
    <x v="2"/>
    <x v="2"/>
    <x v="2"/>
    <x v="0"/>
    <x v="2"/>
    <x v="4"/>
    <x v="5"/>
    <x v="2"/>
  </r>
  <r>
    <s v="TX500950"/>
    <x v="6"/>
    <x v="2"/>
    <n v="44.1"/>
    <n v="132.30000000000001"/>
    <x v="37"/>
    <d v="2025-02-09T00:00:00"/>
    <x v="2"/>
    <x v="1"/>
    <x v="1"/>
    <x v="0"/>
    <x v="22"/>
    <x v="1"/>
    <x v="5"/>
    <x v="2"/>
  </r>
  <r>
    <s v="TX500951"/>
    <x v="8"/>
    <x v="1"/>
    <n v="40.9"/>
    <n v="81.8"/>
    <x v="37"/>
    <d v="2025-02-11T00:00:00"/>
    <x v="1"/>
    <x v="0"/>
    <x v="0"/>
    <x v="0"/>
    <x v="3"/>
    <x v="5"/>
    <x v="5"/>
    <x v="1"/>
  </r>
  <r>
    <s v="TX500952"/>
    <x v="9"/>
    <x v="2"/>
    <n v="49.1"/>
    <n v="147.30000000000001"/>
    <x v="37"/>
    <d v="2025-02-11T00:00:00"/>
    <x v="2"/>
    <x v="3"/>
    <x v="1"/>
    <x v="0"/>
    <x v="3"/>
    <x v="5"/>
    <x v="5"/>
    <x v="2"/>
  </r>
  <r>
    <s v="TX500953"/>
    <x v="18"/>
    <x v="0"/>
    <n v="85.3"/>
    <n v="85.3"/>
    <x v="37"/>
    <d v="2025-02-11T00:00:00"/>
    <x v="1"/>
    <x v="1"/>
    <x v="1"/>
    <x v="0"/>
    <x v="3"/>
    <x v="5"/>
    <x v="5"/>
    <x v="1"/>
  </r>
  <r>
    <s v="TX500954"/>
    <x v="6"/>
    <x v="12"/>
    <n v="43.1"/>
    <n v="172.4"/>
    <x v="38"/>
    <d v="2025-02-11T00:00:00"/>
    <x v="1"/>
    <x v="0"/>
    <x v="0"/>
    <x v="0"/>
    <x v="3"/>
    <x v="2"/>
    <x v="5"/>
    <x v="1"/>
  </r>
  <r>
    <s v="TX500955"/>
    <x v="4"/>
    <x v="12"/>
    <n v="46.2"/>
    <n v="184.8"/>
    <x v="38"/>
    <d v="2025-02-09T00:00:00"/>
    <x v="1"/>
    <x v="2"/>
    <x v="0"/>
    <x v="0"/>
    <x v="3"/>
    <x v="3"/>
    <x v="5"/>
    <x v="1"/>
  </r>
  <r>
    <s v="TX500956"/>
    <x v="1"/>
    <x v="0"/>
    <n v="74.400000000000006"/>
    <n v="74.400000000000006"/>
    <x v="38"/>
    <d v="2025-02-10T00:00:00"/>
    <x v="1"/>
    <x v="4"/>
    <x v="2"/>
    <x v="0"/>
    <x v="3"/>
    <x v="1"/>
    <x v="5"/>
    <x v="1"/>
  </r>
  <r>
    <s v="TX500957"/>
    <x v="17"/>
    <x v="1"/>
    <n v="51.2"/>
    <n v="102.4"/>
    <x v="38"/>
    <d v="2025-02-09T00:00:00"/>
    <x v="1"/>
    <x v="1"/>
    <x v="0"/>
    <x v="0"/>
    <x v="3"/>
    <x v="3"/>
    <x v="5"/>
    <x v="1"/>
  </r>
  <r>
    <s v="TX500958"/>
    <x v="14"/>
    <x v="12"/>
    <n v="11.8"/>
    <n v="47.2"/>
    <x v="38"/>
    <d v="2025-02-08T00:00:00"/>
    <x v="1"/>
    <x v="2"/>
    <x v="0"/>
    <x v="0"/>
    <x v="3"/>
    <x v="7"/>
    <x v="5"/>
    <x v="1"/>
  </r>
  <r>
    <s v="TX500959"/>
    <x v="10"/>
    <x v="6"/>
    <n v="40.799999999999997"/>
    <n v="1101.5999999999999"/>
    <x v="38"/>
    <d v="2025-02-09T00:00:00"/>
    <x v="2"/>
    <x v="3"/>
    <x v="2"/>
    <x v="0"/>
    <x v="3"/>
    <x v="3"/>
    <x v="5"/>
    <x v="2"/>
  </r>
  <r>
    <s v="TX500960"/>
    <x v="8"/>
    <x v="0"/>
    <n v="24.7"/>
    <n v="24.7"/>
    <x v="38"/>
    <d v="2025-02-10T00:00:00"/>
    <x v="2"/>
    <x v="2"/>
    <x v="1"/>
    <x v="0"/>
    <x v="3"/>
    <x v="1"/>
    <x v="5"/>
    <x v="2"/>
  </r>
  <r>
    <s v="TX500961"/>
    <x v="8"/>
    <x v="3"/>
    <n v="22.1"/>
    <n v="154.70000000000002"/>
    <x v="38"/>
    <d v="2025-02-08T00:00:00"/>
    <x v="2"/>
    <x v="2"/>
    <x v="4"/>
    <x v="0"/>
    <x v="3"/>
    <x v="7"/>
    <x v="5"/>
    <x v="2"/>
  </r>
  <r>
    <s v="TX500962"/>
    <x v="8"/>
    <x v="0"/>
    <n v="18.100000000000001"/>
    <n v="18.100000000000001"/>
    <x v="38"/>
    <d v="2025-02-12T00:00:00"/>
    <x v="1"/>
    <x v="3"/>
    <x v="2"/>
    <x v="0"/>
    <x v="3"/>
    <x v="5"/>
    <x v="5"/>
    <x v="1"/>
  </r>
  <r>
    <s v="TX500963"/>
    <x v="17"/>
    <x v="1"/>
    <n v="58.8"/>
    <n v="117.6"/>
    <x v="38"/>
    <d v="2025-02-11T00:00:00"/>
    <x v="2"/>
    <x v="0"/>
    <x v="0"/>
    <x v="0"/>
    <x v="25"/>
    <x v="2"/>
    <x v="5"/>
    <x v="2"/>
  </r>
  <r>
    <s v="TX500964"/>
    <x v="18"/>
    <x v="1"/>
    <n v="30.8"/>
    <n v="61.6"/>
    <x v="38"/>
    <d v="2025-02-09T00:00:00"/>
    <x v="2"/>
    <x v="0"/>
    <x v="0"/>
    <x v="0"/>
    <x v="6"/>
    <x v="3"/>
    <x v="5"/>
    <x v="2"/>
  </r>
  <r>
    <s v="TX500965"/>
    <x v="0"/>
    <x v="1"/>
    <n v="12"/>
    <n v="24"/>
    <x v="38"/>
    <d v="2025-02-12T00:00:00"/>
    <x v="2"/>
    <x v="0"/>
    <x v="0"/>
    <x v="0"/>
    <x v="6"/>
    <x v="5"/>
    <x v="5"/>
    <x v="2"/>
  </r>
  <r>
    <s v="TX500966"/>
    <x v="0"/>
    <x v="12"/>
    <n v="13.6"/>
    <n v="54.4"/>
    <x v="38"/>
    <d v="2025-02-11T00:00:00"/>
    <x v="1"/>
    <x v="2"/>
    <x v="0"/>
    <x v="0"/>
    <x v="6"/>
    <x v="2"/>
    <x v="5"/>
    <x v="1"/>
  </r>
  <r>
    <s v="TX500967"/>
    <x v="0"/>
    <x v="0"/>
    <n v="17.899999999999999"/>
    <n v="17.899999999999999"/>
    <x v="38"/>
    <d v="2025-02-09T00:00:00"/>
    <x v="1"/>
    <x v="3"/>
    <x v="0"/>
    <x v="0"/>
    <x v="6"/>
    <x v="3"/>
    <x v="5"/>
    <x v="1"/>
  </r>
  <r>
    <s v="TX500968"/>
    <x v="9"/>
    <x v="1"/>
    <n v="38.6"/>
    <n v="77.2"/>
    <x v="38"/>
    <d v="2025-02-12T00:00:00"/>
    <x v="2"/>
    <x v="4"/>
    <x v="0"/>
    <x v="0"/>
    <x v="7"/>
    <x v="5"/>
    <x v="5"/>
    <x v="2"/>
  </r>
  <r>
    <s v="TX500969"/>
    <x v="5"/>
    <x v="9"/>
    <n v="32.700000000000003"/>
    <n v="163.5"/>
    <x v="38"/>
    <d v="2025-02-09T00:00:00"/>
    <x v="1"/>
    <x v="2"/>
    <x v="2"/>
    <x v="0"/>
    <x v="8"/>
    <x v="3"/>
    <x v="5"/>
    <x v="1"/>
  </r>
  <r>
    <s v="TX500970"/>
    <x v="3"/>
    <x v="1"/>
    <n v="111.4"/>
    <n v="222.8"/>
    <x v="38"/>
    <d v="2025-02-09T00:00:00"/>
    <x v="2"/>
    <x v="1"/>
    <x v="0"/>
    <x v="0"/>
    <x v="8"/>
    <x v="3"/>
    <x v="5"/>
    <x v="2"/>
  </r>
  <r>
    <s v="TX500971"/>
    <x v="2"/>
    <x v="13"/>
    <n v="80.3"/>
    <n v="481.79999999999995"/>
    <x v="38"/>
    <d v="2025-02-10T00:00:00"/>
    <x v="2"/>
    <x v="1"/>
    <x v="0"/>
    <x v="0"/>
    <x v="8"/>
    <x v="1"/>
    <x v="5"/>
    <x v="2"/>
  </r>
  <r>
    <s v="TX500972"/>
    <x v="6"/>
    <x v="1"/>
    <n v="58.9"/>
    <n v="117.8"/>
    <x v="38"/>
    <d v="2025-02-09T00:00:00"/>
    <x v="1"/>
    <x v="1"/>
    <x v="0"/>
    <x v="0"/>
    <x v="8"/>
    <x v="3"/>
    <x v="5"/>
    <x v="1"/>
  </r>
  <r>
    <s v="TX500973"/>
    <x v="6"/>
    <x v="2"/>
    <n v="51.9"/>
    <n v="155.69999999999999"/>
    <x v="38"/>
    <d v="2025-02-10T00:00:00"/>
    <x v="2"/>
    <x v="1"/>
    <x v="4"/>
    <x v="0"/>
    <x v="8"/>
    <x v="1"/>
    <x v="5"/>
    <x v="2"/>
  </r>
  <r>
    <s v="TX500974"/>
    <x v="2"/>
    <x v="2"/>
    <n v="50.3"/>
    <n v="150.89999999999998"/>
    <x v="38"/>
    <d v="2025-02-09T00:00:00"/>
    <x v="1"/>
    <x v="2"/>
    <x v="0"/>
    <x v="0"/>
    <x v="17"/>
    <x v="3"/>
    <x v="5"/>
    <x v="1"/>
  </r>
  <r>
    <s v="TX500975"/>
    <x v="11"/>
    <x v="13"/>
    <n v="45"/>
    <n v="270"/>
    <x v="38"/>
    <d v="2025-02-14T00:00:00"/>
    <x v="2"/>
    <x v="3"/>
    <x v="0"/>
    <x v="0"/>
    <x v="9"/>
    <x v="4"/>
    <x v="5"/>
    <x v="2"/>
  </r>
  <r>
    <s v="TX500976"/>
    <x v="10"/>
    <x v="13"/>
    <n v="44.7"/>
    <n v="268.20000000000005"/>
    <x v="38"/>
    <d v="2025-02-10T00:00:00"/>
    <x v="2"/>
    <x v="2"/>
    <x v="0"/>
    <x v="0"/>
    <x v="11"/>
    <x v="1"/>
    <x v="5"/>
    <x v="2"/>
  </r>
  <r>
    <s v="TX500977"/>
    <x v="18"/>
    <x v="20"/>
    <n v="33"/>
    <n v="495"/>
    <x v="38"/>
    <d v="2025-02-09T00:00:00"/>
    <x v="2"/>
    <x v="2"/>
    <x v="0"/>
    <x v="0"/>
    <x v="11"/>
    <x v="3"/>
    <x v="5"/>
    <x v="2"/>
  </r>
  <r>
    <s v="TX500978"/>
    <x v="1"/>
    <x v="9"/>
    <n v="44.9"/>
    <n v="224.5"/>
    <x v="38"/>
    <d v="2025-02-11T00:00:00"/>
    <x v="2"/>
    <x v="2"/>
    <x v="2"/>
    <x v="0"/>
    <x v="18"/>
    <x v="2"/>
    <x v="5"/>
    <x v="2"/>
  </r>
  <r>
    <s v="TX500979"/>
    <x v="10"/>
    <x v="1"/>
    <n v="34.6"/>
    <n v="69.2"/>
    <x v="38"/>
    <d v="2025-02-12T00:00:00"/>
    <x v="2"/>
    <x v="0"/>
    <x v="1"/>
    <x v="0"/>
    <x v="19"/>
    <x v="5"/>
    <x v="5"/>
    <x v="2"/>
  </r>
  <r>
    <s v="TX500980"/>
    <x v="7"/>
    <x v="3"/>
    <n v="47.1"/>
    <n v="329.7"/>
    <x v="38"/>
    <d v="2025-02-13T00:00:00"/>
    <x v="2"/>
    <x v="0"/>
    <x v="0"/>
    <x v="0"/>
    <x v="13"/>
    <x v="0"/>
    <x v="5"/>
    <x v="2"/>
  </r>
  <r>
    <s v="TX500981"/>
    <x v="4"/>
    <x v="9"/>
    <n v="26.1"/>
    <n v="130.5"/>
    <x v="38"/>
    <d v="2025-02-13T00:00:00"/>
    <x v="1"/>
    <x v="0"/>
    <x v="2"/>
    <x v="0"/>
    <x v="21"/>
    <x v="0"/>
    <x v="5"/>
    <x v="1"/>
  </r>
  <r>
    <s v="TX500982"/>
    <x v="12"/>
    <x v="9"/>
    <n v="66.8"/>
    <n v="334"/>
    <x v="38"/>
    <d v="2025-02-11T00:00:00"/>
    <x v="2"/>
    <x v="0"/>
    <x v="0"/>
    <x v="0"/>
    <x v="21"/>
    <x v="2"/>
    <x v="5"/>
    <x v="2"/>
  </r>
  <r>
    <s v="TX500983"/>
    <x v="2"/>
    <x v="1"/>
    <n v="167.9"/>
    <n v="335.8"/>
    <x v="38"/>
    <d v="2025-02-09T00:00:00"/>
    <x v="2"/>
    <x v="3"/>
    <x v="2"/>
    <x v="0"/>
    <x v="21"/>
    <x v="3"/>
    <x v="5"/>
    <x v="2"/>
  </r>
  <r>
    <s v="TX500984"/>
    <x v="10"/>
    <x v="11"/>
    <n v="34.6"/>
    <n v="311.40000000000003"/>
    <x v="38"/>
    <d v="2025-02-09T00:00:00"/>
    <x v="2"/>
    <x v="2"/>
    <x v="1"/>
    <x v="0"/>
    <x v="21"/>
    <x v="3"/>
    <x v="5"/>
    <x v="2"/>
  </r>
  <r>
    <s v="TX500985"/>
    <x v="8"/>
    <x v="2"/>
    <n v="35.1"/>
    <n v="105.30000000000001"/>
    <x v="39"/>
    <d v="2025-02-13T00:00:00"/>
    <x v="1"/>
    <x v="4"/>
    <x v="2"/>
    <x v="0"/>
    <x v="1"/>
    <x v="5"/>
    <x v="6"/>
    <x v="1"/>
  </r>
  <r>
    <s v="TX500986"/>
    <x v="6"/>
    <x v="12"/>
    <n v="104.5"/>
    <n v="418"/>
    <x v="39"/>
    <d v="2025-02-10T00:00:00"/>
    <x v="1"/>
    <x v="1"/>
    <x v="1"/>
    <x v="0"/>
    <x v="1"/>
    <x v="3"/>
    <x v="6"/>
    <x v="1"/>
  </r>
  <r>
    <s v="TX500987"/>
    <x v="8"/>
    <x v="0"/>
    <n v="37.9"/>
    <n v="37.9"/>
    <x v="39"/>
    <d v="2025-02-11T00:00:00"/>
    <x v="0"/>
    <x v="1"/>
    <x v="2"/>
    <x v="0"/>
    <x v="2"/>
    <x v="1"/>
    <x v="6"/>
    <x v="0"/>
  </r>
  <r>
    <s v="TX500988"/>
    <x v="4"/>
    <x v="2"/>
    <n v="25.5"/>
    <n v="76.5"/>
    <x v="39"/>
    <d v="2025-02-12T00:00:00"/>
    <x v="1"/>
    <x v="3"/>
    <x v="0"/>
    <x v="0"/>
    <x v="2"/>
    <x v="2"/>
    <x v="6"/>
    <x v="1"/>
  </r>
  <r>
    <s v="TX500989"/>
    <x v="0"/>
    <x v="2"/>
    <n v="32"/>
    <n v="96"/>
    <x v="39"/>
    <d v="2025-02-13T00:00:00"/>
    <x v="2"/>
    <x v="1"/>
    <x v="0"/>
    <x v="0"/>
    <x v="22"/>
    <x v="5"/>
    <x v="6"/>
    <x v="2"/>
  </r>
  <r>
    <s v="TX500990"/>
    <x v="1"/>
    <x v="0"/>
    <n v="47.1"/>
    <n v="47.1"/>
    <x v="39"/>
    <d v="2025-02-10T00:00:00"/>
    <x v="2"/>
    <x v="0"/>
    <x v="0"/>
    <x v="0"/>
    <x v="34"/>
    <x v="3"/>
    <x v="6"/>
    <x v="2"/>
  </r>
  <r>
    <s v="TX500991"/>
    <x v="6"/>
    <x v="1"/>
    <n v="50.6"/>
    <n v="101.2"/>
    <x v="39"/>
    <d v="2025-02-15T00:00:00"/>
    <x v="0"/>
    <x v="0"/>
    <x v="0"/>
    <x v="0"/>
    <x v="3"/>
    <x v="4"/>
    <x v="6"/>
    <x v="0"/>
  </r>
  <r>
    <s v="TX500992"/>
    <x v="6"/>
    <x v="9"/>
    <n v="81.7"/>
    <n v="408.5"/>
    <x v="39"/>
    <d v="2025-02-10T00:00:00"/>
    <x v="2"/>
    <x v="1"/>
    <x v="2"/>
    <x v="0"/>
    <x v="3"/>
    <x v="3"/>
    <x v="6"/>
    <x v="2"/>
  </r>
  <r>
    <s v="TX500993"/>
    <x v="5"/>
    <x v="1"/>
    <n v="50.7"/>
    <n v="101.4"/>
    <x v="39"/>
    <d v="2025-02-10T00:00:00"/>
    <x v="3"/>
    <x v="2"/>
    <x v="2"/>
    <x v="0"/>
    <x v="3"/>
    <x v="3"/>
    <x v="6"/>
    <x v="3"/>
  </r>
  <r>
    <s v="TX500994"/>
    <x v="2"/>
    <x v="10"/>
    <n v="67.3"/>
    <n v="1278.7"/>
    <x v="39"/>
    <d v="2025-02-13T00:00:00"/>
    <x v="2"/>
    <x v="2"/>
    <x v="0"/>
    <x v="0"/>
    <x v="3"/>
    <x v="5"/>
    <x v="6"/>
    <x v="2"/>
  </r>
  <r>
    <s v="TX500995"/>
    <x v="2"/>
    <x v="12"/>
    <n v="64.8"/>
    <n v="259.2"/>
    <x v="39"/>
    <d v="2025-02-12T00:00:00"/>
    <x v="2"/>
    <x v="3"/>
    <x v="0"/>
    <x v="0"/>
    <x v="3"/>
    <x v="2"/>
    <x v="6"/>
    <x v="2"/>
  </r>
  <r>
    <s v="TX500996"/>
    <x v="5"/>
    <x v="32"/>
    <n v="61.3"/>
    <n v="1348.6"/>
    <x v="39"/>
    <d v="2025-02-10T00:00:00"/>
    <x v="2"/>
    <x v="0"/>
    <x v="2"/>
    <x v="0"/>
    <x v="3"/>
    <x v="3"/>
    <x v="6"/>
    <x v="2"/>
  </r>
  <r>
    <s v="TX500997"/>
    <x v="14"/>
    <x v="0"/>
    <n v="32.9"/>
    <n v="32.9"/>
    <x v="39"/>
    <d v="2025-02-12T00:00:00"/>
    <x v="2"/>
    <x v="4"/>
    <x v="0"/>
    <x v="0"/>
    <x v="3"/>
    <x v="2"/>
    <x v="6"/>
    <x v="2"/>
  </r>
  <r>
    <s v="TX500998"/>
    <x v="6"/>
    <x v="1"/>
    <n v="100.8"/>
    <n v="201.6"/>
    <x v="39"/>
    <d v="2025-02-12T00:00:00"/>
    <x v="2"/>
    <x v="0"/>
    <x v="0"/>
    <x v="0"/>
    <x v="3"/>
    <x v="2"/>
    <x v="6"/>
    <x v="2"/>
  </r>
  <r>
    <s v="TX500999"/>
    <x v="8"/>
    <x v="12"/>
    <n v="25.1"/>
    <n v="100.4"/>
    <x v="39"/>
    <d v="2025-02-11T00:00:00"/>
    <x v="2"/>
    <x v="1"/>
    <x v="0"/>
    <x v="0"/>
    <x v="3"/>
    <x v="1"/>
    <x v="6"/>
    <x v="2"/>
  </r>
  <r>
    <s v="TX501000"/>
    <x v="17"/>
    <x v="0"/>
    <n v="48.5"/>
    <n v="48.5"/>
    <x v="39"/>
    <d v="2025-02-10T00:00:00"/>
    <x v="2"/>
    <x v="0"/>
    <x v="1"/>
    <x v="0"/>
    <x v="3"/>
    <x v="3"/>
    <x v="6"/>
    <x v="2"/>
  </r>
  <r>
    <s v="TX501001"/>
    <x v="7"/>
    <x v="1"/>
    <n v="33.6"/>
    <n v="67.2"/>
    <x v="39"/>
    <d v="2025-02-13T00:00:00"/>
    <x v="2"/>
    <x v="2"/>
    <x v="2"/>
    <x v="0"/>
    <x v="3"/>
    <x v="5"/>
    <x v="6"/>
    <x v="2"/>
  </r>
  <r>
    <s v="TX501002"/>
    <x v="8"/>
    <x v="0"/>
    <n v="39.299999999999997"/>
    <n v="39.299999999999997"/>
    <x v="39"/>
    <d v="2025-02-20T00:00:00"/>
    <x v="2"/>
    <x v="1"/>
    <x v="1"/>
    <x v="0"/>
    <x v="49"/>
    <x v="11"/>
    <x v="6"/>
    <x v="2"/>
  </r>
  <r>
    <s v="TX501003"/>
    <x v="4"/>
    <x v="7"/>
    <n v="48.8"/>
    <n v="488"/>
    <x v="39"/>
    <d v="2025-02-11T00:00:00"/>
    <x v="2"/>
    <x v="3"/>
    <x v="1"/>
    <x v="0"/>
    <x v="25"/>
    <x v="1"/>
    <x v="6"/>
    <x v="2"/>
  </r>
  <r>
    <s v="TX501004"/>
    <x v="6"/>
    <x v="8"/>
    <n v="72.8"/>
    <n v="582.4"/>
    <x v="39"/>
    <d v="2025-02-11T00:00:00"/>
    <x v="1"/>
    <x v="1"/>
    <x v="2"/>
    <x v="0"/>
    <x v="5"/>
    <x v="1"/>
    <x v="6"/>
    <x v="1"/>
  </r>
  <r>
    <s v="TX501005"/>
    <x v="10"/>
    <x v="8"/>
    <n v="46.2"/>
    <n v="369.6"/>
    <x v="39"/>
    <d v="2025-02-10T00:00:00"/>
    <x v="1"/>
    <x v="3"/>
    <x v="4"/>
    <x v="0"/>
    <x v="5"/>
    <x v="3"/>
    <x v="6"/>
    <x v="1"/>
  </r>
  <r>
    <s v="TX501006"/>
    <x v="4"/>
    <x v="1"/>
    <n v="20.7"/>
    <n v="41.4"/>
    <x v="39"/>
    <d v="2025-02-10T00:00:00"/>
    <x v="2"/>
    <x v="2"/>
    <x v="3"/>
    <x v="0"/>
    <x v="6"/>
    <x v="3"/>
    <x v="6"/>
    <x v="2"/>
  </r>
  <r>
    <s v="TX501007"/>
    <x v="0"/>
    <x v="0"/>
    <n v="35.700000000000003"/>
    <n v="35.700000000000003"/>
    <x v="39"/>
    <d v="2025-02-11T00:00:00"/>
    <x v="2"/>
    <x v="3"/>
    <x v="0"/>
    <x v="0"/>
    <x v="6"/>
    <x v="1"/>
    <x v="6"/>
    <x v="2"/>
  </r>
  <r>
    <s v="TX501008"/>
    <x v="2"/>
    <x v="27"/>
    <n v="166.2"/>
    <n v="2659.2"/>
    <x v="39"/>
    <d v="2025-02-11T00:00:00"/>
    <x v="0"/>
    <x v="2"/>
    <x v="0"/>
    <x v="0"/>
    <x v="7"/>
    <x v="1"/>
    <x v="6"/>
    <x v="0"/>
  </r>
  <r>
    <s v="TX501009"/>
    <x v="6"/>
    <x v="12"/>
    <n v="85.8"/>
    <n v="343.2"/>
    <x v="39"/>
    <d v="2025-02-10T00:00:00"/>
    <x v="2"/>
    <x v="1"/>
    <x v="1"/>
    <x v="0"/>
    <x v="7"/>
    <x v="3"/>
    <x v="6"/>
    <x v="2"/>
  </r>
  <r>
    <s v="TX501010"/>
    <x v="8"/>
    <x v="2"/>
    <n v="26"/>
    <n v="78"/>
    <x v="39"/>
    <d v="2025-02-11T00:00:00"/>
    <x v="3"/>
    <x v="1"/>
    <x v="0"/>
    <x v="0"/>
    <x v="7"/>
    <x v="1"/>
    <x v="6"/>
    <x v="3"/>
  </r>
  <r>
    <s v="TX501011"/>
    <x v="2"/>
    <x v="15"/>
    <n v="116.6"/>
    <n v="1515.8"/>
    <x v="39"/>
    <d v="2025-02-12T00:00:00"/>
    <x v="2"/>
    <x v="0"/>
    <x v="0"/>
    <x v="0"/>
    <x v="8"/>
    <x v="2"/>
    <x v="6"/>
    <x v="2"/>
  </r>
  <r>
    <s v="TX501012"/>
    <x v="9"/>
    <x v="3"/>
    <n v="53.9"/>
    <n v="377.3"/>
    <x v="39"/>
    <d v="2025-02-12T00:00:00"/>
    <x v="3"/>
    <x v="0"/>
    <x v="2"/>
    <x v="0"/>
    <x v="8"/>
    <x v="2"/>
    <x v="6"/>
    <x v="3"/>
  </r>
  <r>
    <s v="TX501013"/>
    <x v="12"/>
    <x v="9"/>
    <n v="72.3"/>
    <n v="361.5"/>
    <x v="39"/>
    <d v="2025-02-11T00:00:00"/>
    <x v="0"/>
    <x v="2"/>
    <x v="2"/>
    <x v="0"/>
    <x v="8"/>
    <x v="1"/>
    <x v="6"/>
    <x v="0"/>
  </r>
  <r>
    <s v="TX501014"/>
    <x v="5"/>
    <x v="1"/>
    <n v="31.4"/>
    <n v="62.8"/>
    <x v="39"/>
    <d v="2025-02-11T00:00:00"/>
    <x v="2"/>
    <x v="0"/>
    <x v="0"/>
    <x v="0"/>
    <x v="8"/>
    <x v="1"/>
    <x v="6"/>
    <x v="2"/>
  </r>
  <r>
    <s v="TX501015"/>
    <x v="13"/>
    <x v="1"/>
    <n v="53.1"/>
    <n v="106.2"/>
    <x v="39"/>
    <d v="2025-02-12T00:00:00"/>
    <x v="1"/>
    <x v="1"/>
    <x v="0"/>
    <x v="0"/>
    <x v="8"/>
    <x v="2"/>
    <x v="6"/>
    <x v="1"/>
  </r>
  <r>
    <s v="TX501016"/>
    <x v="2"/>
    <x v="12"/>
    <n v="56.2"/>
    <n v="224.8"/>
    <x v="39"/>
    <d v="2025-02-10T00:00:00"/>
    <x v="2"/>
    <x v="0"/>
    <x v="0"/>
    <x v="0"/>
    <x v="8"/>
    <x v="3"/>
    <x v="6"/>
    <x v="2"/>
  </r>
  <r>
    <s v="TX501017"/>
    <x v="1"/>
    <x v="7"/>
    <n v="77.3"/>
    <n v="773"/>
    <x v="39"/>
    <d v="2025-02-10T00:00:00"/>
    <x v="2"/>
    <x v="2"/>
    <x v="0"/>
    <x v="0"/>
    <x v="11"/>
    <x v="3"/>
    <x v="6"/>
    <x v="2"/>
  </r>
  <r>
    <s v="TX501018"/>
    <x v="6"/>
    <x v="15"/>
    <n v="57.8"/>
    <n v="751.4"/>
    <x v="39"/>
    <d v="2025-02-10T00:00:00"/>
    <x v="0"/>
    <x v="0"/>
    <x v="0"/>
    <x v="0"/>
    <x v="53"/>
    <x v="3"/>
    <x v="6"/>
    <x v="0"/>
  </r>
  <r>
    <s v="TX501019"/>
    <x v="12"/>
    <x v="20"/>
    <n v="42.1"/>
    <n v="631.5"/>
    <x v="39"/>
    <d v="2025-02-11T00:00:00"/>
    <x v="2"/>
    <x v="1"/>
    <x v="1"/>
    <x v="0"/>
    <x v="53"/>
    <x v="1"/>
    <x v="6"/>
    <x v="2"/>
  </r>
  <r>
    <s v="TX501020"/>
    <x v="8"/>
    <x v="11"/>
    <n v="22.8"/>
    <n v="205.20000000000002"/>
    <x v="39"/>
    <d v="2025-02-13T00:00:00"/>
    <x v="1"/>
    <x v="2"/>
    <x v="2"/>
    <x v="0"/>
    <x v="19"/>
    <x v="5"/>
    <x v="6"/>
    <x v="1"/>
  </r>
  <r>
    <s v="TX501021"/>
    <x v="2"/>
    <x v="2"/>
    <n v="171.1"/>
    <n v="513.29999999999995"/>
    <x v="40"/>
    <d v="2025-02-17T00:00:00"/>
    <x v="2"/>
    <x v="2"/>
    <x v="1"/>
    <x v="0"/>
    <x v="19"/>
    <x v="6"/>
    <x v="6"/>
    <x v="2"/>
  </r>
  <r>
    <s v="TX501022"/>
    <x v="8"/>
    <x v="0"/>
    <n v="28"/>
    <n v="28"/>
    <x v="40"/>
    <d v="2025-02-12T00:00:00"/>
    <x v="1"/>
    <x v="2"/>
    <x v="2"/>
    <x v="0"/>
    <x v="21"/>
    <x v="1"/>
    <x v="6"/>
    <x v="1"/>
  </r>
  <r>
    <s v="TX501023"/>
    <x v="6"/>
    <x v="3"/>
    <n v="50.2"/>
    <n v="351.40000000000003"/>
    <x v="40"/>
    <d v="2025-02-12T00:00:00"/>
    <x v="1"/>
    <x v="2"/>
    <x v="0"/>
    <x v="0"/>
    <x v="21"/>
    <x v="1"/>
    <x v="6"/>
    <x v="1"/>
  </r>
  <r>
    <s v="TX501024"/>
    <x v="6"/>
    <x v="1"/>
    <n v="56"/>
    <n v="112"/>
    <x v="40"/>
    <d v="2025-02-10T00:00:00"/>
    <x v="1"/>
    <x v="0"/>
    <x v="2"/>
    <x v="0"/>
    <x v="22"/>
    <x v="7"/>
    <x v="6"/>
    <x v="1"/>
  </r>
  <r>
    <s v="TX501025"/>
    <x v="1"/>
    <x v="1"/>
    <n v="38.299999999999997"/>
    <n v="76.599999999999994"/>
    <x v="40"/>
    <d v="2025-02-11T00:00:00"/>
    <x v="2"/>
    <x v="1"/>
    <x v="0"/>
    <x v="0"/>
    <x v="3"/>
    <x v="3"/>
    <x v="6"/>
    <x v="2"/>
  </r>
  <r>
    <s v="TX501026"/>
    <x v="0"/>
    <x v="9"/>
    <n v="22.3"/>
    <n v="111.5"/>
    <x v="40"/>
    <d v="2025-02-14T00:00:00"/>
    <x v="2"/>
    <x v="2"/>
    <x v="1"/>
    <x v="0"/>
    <x v="3"/>
    <x v="5"/>
    <x v="6"/>
    <x v="2"/>
  </r>
  <r>
    <s v="TX501027"/>
    <x v="0"/>
    <x v="2"/>
    <n v="22.3"/>
    <n v="66.900000000000006"/>
    <x v="40"/>
    <d v="2025-02-13T00:00:00"/>
    <x v="2"/>
    <x v="2"/>
    <x v="0"/>
    <x v="0"/>
    <x v="3"/>
    <x v="2"/>
    <x v="6"/>
    <x v="2"/>
  </r>
  <r>
    <s v="TX501028"/>
    <x v="1"/>
    <x v="0"/>
    <n v="32.9"/>
    <n v="32.9"/>
    <x v="40"/>
    <d v="2025-02-15T00:00:00"/>
    <x v="2"/>
    <x v="0"/>
    <x v="0"/>
    <x v="0"/>
    <x v="3"/>
    <x v="0"/>
    <x v="6"/>
    <x v="2"/>
  </r>
  <r>
    <s v="TX501029"/>
    <x v="10"/>
    <x v="2"/>
    <n v="31.9"/>
    <n v="95.699999999999989"/>
    <x v="40"/>
    <d v="2025-02-15T00:00:00"/>
    <x v="2"/>
    <x v="0"/>
    <x v="0"/>
    <x v="0"/>
    <x v="3"/>
    <x v="0"/>
    <x v="6"/>
    <x v="2"/>
  </r>
  <r>
    <s v="TX501030"/>
    <x v="6"/>
    <x v="1"/>
    <n v="94"/>
    <n v="188"/>
    <x v="40"/>
    <d v="2025-02-11T00:00:00"/>
    <x v="1"/>
    <x v="2"/>
    <x v="2"/>
    <x v="0"/>
    <x v="3"/>
    <x v="3"/>
    <x v="6"/>
    <x v="1"/>
  </r>
  <r>
    <s v="TX501031"/>
    <x v="10"/>
    <x v="1"/>
    <n v="30.7"/>
    <n v="61.4"/>
    <x v="40"/>
    <d v="2025-02-11T00:00:00"/>
    <x v="2"/>
    <x v="0"/>
    <x v="1"/>
    <x v="0"/>
    <x v="3"/>
    <x v="3"/>
    <x v="6"/>
    <x v="2"/>
  </r>
  <r>
    <s v="TX501032"/>
    <x v="5"/>
    <x v="9"/>
    <n v="90.5"/>
    <n v="452.5"/>
    <x v="40"/>
    <d v="2025-02-17T00:00:00"/>
    <x v="1"/>
    <x v="0"/>
    <x v="2"/>
    <x v="0"/>
    <x v="3"/>
    <x v="6"/>
    <x v="6"/>
    <x v="1"/>
  </r>
  <r>
    <s v="TX501033"/>
    <x v="8"/>
    <x v="9"/>
    <n v="25.3"/>
    <n v="126.5"/>
    <x v="40"/>
    <d v="2025-02-14T00:00:00"/>
    <x v="2"/>
    <x v="0"/>
    <x v="2"/>
    <x v="0"/>
    <x v="3"/>
    <x v="5"/>
    <x v="6"/>
    <x v="2"/>
  </r>
  <r>
    <s v="TX501034"/>
    <x v="6"/>
    <x v="2"/>
    <n v="58.1"/>
    <n v="174.3"/>
    <x v="40"/>
    <d v="2025-02-14T00:00:00"/>
    <x v="0"/>
    <x v="0"/>
    <x v="2"/>
    <x v="0"/>
    <x v="3"/>
    <x v="5"/>
    <x v="6"/>
    <x v="0"/>
  </r>
  <r>
    <s v="TX501035"/>
    <x v="2"/>
    <x v="2"/>
    <n v="74.900000000000006"/>
    <n v="224.70000000000002"/>
    <x v="40"/>
    <d v="2025-02-11T00:00:00"/>
    <x v="2"/>
    <x v="4"/>
    <x v="0"/>
    <x v="0"/>
    <x v="3"/>
    <x v="3"/>
    <x v="6"/>
    <x v="2"/>
  </r>
  <r>
    <s v="TX501036"/>
    <x v="4"/>
    <x v="1"/>
    <n v="32.5"/>
    <n v="65"/>
    <x v="40"/>
    <d v="2025-02-11T00:00:00"/>
    <x v="1"/>
    <x v="2"/>
    <x v="2"/>
    <x v="0"/>
    <x v="43"/>
    <x v="3"/>
    <x v="6"/>
    <x v="1"/>
  </r>
  <r>
    <s v="TX501037"/>
    <x v="4"/>
    <x v="9"/>
    <n v="62"/>
    <n v="310"/>
    <x v="40"/>
    <d v="2025-02-11T00:00:00"/>
    <x v="1"/>
    <x v="4"/>
    <x v="2"/>
    <x v="0"/>
    <x v="25"/>
    <x v="3"/>
    <x v="6"/>
    <x v="1"/>
  </r>
  <r>
    <s v="TX501038"/>
    <x v="13"/>
    <x v="13"/>
    <n v="28.9"/>
    <n v="173.39999999999998"/>
    <x v="40"/>
    <d v="2025-02-13T00:00:00"/>
    <x v="2"/>
    <x v="0"/>
    <x v="1"/>
    <x v="0"/>
    <x v="6"/>
    <x v="2"/>
    <x v="6"/>
    <x v="2"/>
  </r>
  <r>
    <s v="TX501039"/>
    <x v="6"/>
    <x v="8"/>
    <n v="42.8"/>
    <n v="342.4"/>
    <x v="40"/>
    <d v="2025-02-12T00:00:00"/>
    <x v="2"/>
    <x v="0"/>
    <x v="2"/>
    <x v="0"/>
    <x v="6"/>
    <x v="1"/>
    <x v="6"/>
    <x v="2"/>
  </r>
  <r>
    <s v="TX501040"/>
    <x v="8"/>
    <x v="8"/>
    <n v="39.4"/>
    <n v="315.2"/>
    <x v="40"/>
    <d v="2025-02-12T00:00:00"/>
    <x v="1"/>
    <x v="0"/>
    <x v="0"/>
    <x v="0"/>
    <x v="36"/>
    <x v="1"/>
    <x v="6"/>
    <x v="1"/>
  </r>
  <r>
    <s v="TX501041"/>
    <x v="18"/>
    <x v="2"/>
    <n v="66.400000000000006"/>
    <n v="199.20000000000002"/>
    <x v="40"/>
    <d v="2025-02-11T00:00:00"/>
    <x v="0"/>
    <x v="2"/>
    <x v="1"/>
    <x v="0"/>
    <x v="7"/>
    <x v="3"/>
    <x v="6"/>
    <x v="0"/>
  </r>
  <r>
    <s v="TX501042"/>
    <x v="17"/>
    <x v="12"/>
    <n v="35.9"/>
    <n v="143.6"/>
    <x v="40"/>
    <d v="2025-02-17T00:00:00"/>
    <x v="2"/>
    <x v="1"/>
    <x v="0"/>
    <x v="0"/>
    <x v="7"/>
    <x v="6"/>
    <x v="6"/>
    <x v="2"/>
  </r>
  <r>
    <s v="TX501043"/>
    <x v="0"/>
    <x v="12"/>
    <n v="26.9"/>
    <n v="107.6"/>
    <x v="40"/>
    <d v="2025-02-11T00:00:00"/>
    <x v="1"/>
    <x v="1"/>
    <x v="0"/>
    <x v="0"/>
    <x v="7"/>
    <x v="3"/>
    <x v="6"/>
    <x v="1"/>
  </r>
  <r>
    <s v="TX501044"/>
    <x v="2"/>
    <x v="0"/>
    <n v="55.1"/>
    <n v="55.1"/>
    <x v="40"/>
    <d v="2025-02-11T00:00:00"/>
    <x v="2"/>
    <x v="0"/>
    <x v="0"/>
    <x v="0"/>
    <x v="7"/>
    <x v="3"/>
    <x v="6"/>
    <x v="2"/>
  </r>
  <r>
    <s v="TX501045"/>
    <x v="4"/>
    <x v="1"/>
    <n v="23.9"/>
    <n v="47.8"/>
    <x v="40"/>
    <d v="2025-02-11T00:00:00"/>
    <x v="1"/>
    <x v="0"/>
    <x v="2"/>
    <x v="0"/>
    <x v="8"/>
    <x v="3"/>
    <x v="6"/>
    <x v="1"/>
  </r>
  <r>
    <s v="TX501046"/>
    <x v="9"/>
    <x v="15"/>
    <n v="21.1"/>
    <n v="274.3"/>
    <x v="40"/>
    <d v="2025-02-18T00:00:00"/>
    <x v="2"/>
    <x v="0"/>
    <x v="1"/>
    <x v="0"/>
    <x v="8"/>
    <x v="9"/>
    <x v="6"/>
    <x v="2"/>
  </r>
  <r>
    <s v="TX501047"/>
    <x v="8"/>
    <x v="9"/>
    <n v="33.799999999999997"/>
    <n v="169"/>
    <x v="40"/>
    <d v="2025-02-12T00:00:00"/>
    <x v="2"/>
    <x v="0"/>
    <x v="0"/>
    <x v="0"/>
    <x v="8"/>
    <x v="1"/>
    <x v="6"/>
    <x v="2"/>
  </r>
  <r>
    <s v="TX501048"/>
    <x v="2"/>
    <x v="12"/>
    <n v="56.1"/>
    <n v="224.4"/>
    <x v="40"/>
    <d v="2025-02-10T00:00:00"/>
    <x v="2"/>
    <x v="3"/>
    <x v="2"/>
    <x v="0"/>
    <x v="9"/>
    <x v="7"/>
    <x v="6"/>
    <x v="2"/>
  </r>
  <r>
    <s v="TX501049"/>
    <x v="3"/>
    <x v="0"/>
    <n v="58.5"/>
    <n v="58.5"/>
    <x v="41"/>
    <d v="2025-02-15T00:00:00"/>
    <x v="2"/>
    <x v="1"/>
    <x v="2"/>
    <x v="0"/>
    <x v="9"/>
    <x v="5"/>
    <x v="6"/>
    <x v="2"/>
  </r>
  <r>
    <s v="TX501050"/>
    <x v="6"/>
    <x v="0"/>
    <n v="84.2"/>
    <n v="84.2"/>
    <x v="41"/>
    <d v="2025-02-13T00:00:00"/>
    <x v="1"/>
    <x v="3"/>
    <x v="0"/>
    <x v="0"/>
    <x v="11"/>
    <x v="1"/>
    <x v="6"/>
    <x v="1"/>
  </r>
  <r>
    <s v="TX501051"/>
    <x v="11"/>
    <x v="12"/>
    <n v="52"/>
    <n v="208"/>
    <x v="41"/>
    <d v="2025-02-14T00:00:00"/>
    <x v="1"/>
    <x v="0"/>
    <x v="0"/>
    <x v="0"/>
    <x v="11"/>
    <x v="2"/>
    <x v="6"/>
    <x v="1"/>
  </r>
  <r>
    <s v="TX501052"/>
    <x v="4"/>
    <x v="9"/>
    <n v="31.5"/>
    <n v="157.5"/>
    <x v="41"/>
    <d v="2025-02-12T00:00:00"/>
    <x v="2"/>
    <x v="0"/>
    <x v="2"/>
    <x v="0"/>
    <x v="11"/>
    <x v="3"/>
    <x v="6"/>
    <x v="2"/>
  </r>
  <r>
    <s v="TX501053"/>
    <x v="16"/>
    <x v="2"/>
    <n v="46.2"/>
    <n v="138.60000000000002"/>
    <x v="41"/>
    <d v="2025-02-12T00:00:00"/>
    <x v="1"/>
    <x v="0"/>
    <x v="0"/>
    <x v="0"/>
    <x v="53"/>
    <x v="3"/>
    <x v="6"/>
    <x v="1"/>
  </r>
  <r>
    <s v="TX501054"/>
    <x v="2"/>
    <x v="13"/>
    <n v="135"/>
    <n v="810"/>
    <x v="41"/>
    <d v="2025-02-12T00:00:00"/>
    <x v="2"/>
    <x v="1"/>
    <x v="2"/>
    <x v="0"/>
    <x v="18"/>
    <x v="3"/>
    <x v="6"/>
    <x v="2"/>
  </r>
  <r>
    <s v="TX501055"/>
    <x v="12"/>
    <x v="2"/>
    <n v="92.2"/>
    <n v="276.60000000000002"/>
    <x v="41"/>
    <d v="2025-02-15T00:00:00"/>
    <x v="1"/>
    <x v="0"/>
    <x v="0"/>
    <x v="0"/>
    <x v="21"/>
    <x v="5"/>
    <x v="6"/>
    <x v="1"/>
  </r>
  <r>
    <s v="TX501056"/>
    <x v="8"/>
    <x v="0"/>
    <n v="36.6"/>
    <n v="36.6"/>
    <x v="41"/>
    <d v="2025-02-13T00:00:00"/>
    <x v="1"/>
    <x v="2"/>
    <x v="2"/>
    <x v="0"/>
    <x v="21"/>
    <x v="1"/>
    <x v="6"/>
    <x v="1"/>
  </r>
  <r>
    <s v="TX501057"/>
    <x v="9"/>
    <x v="1"/>
    <n v="50.6"/>
    <n v="101.2"/>
    <x v="41"/>
    <d v="2025-02-14T00:00:00"/>
    <x v="2"/>
    <x v="0"/>
    <x v="0"/>
    <x v="0"/>
    <x v="2"/>
    <x v="2"/>
    <x v="6"/>
    <x v="2"/>
  </r>
  <r>
    <s v="TX501058"/>
    <x v="18"/>
    <x v="3"/>
    <n v="56.7"/>
    <n v="396.90000000000003"/>
    <x v="41"/>
    <d v="2025-02-14T00:00:00"/>
    <x v="2"/>
    <x v="0"/>
    <x v="0"/>
    <x v="0"/>
    <x v="2"/>
    <x v="2"/>
    <x v="6"/>
    <x v="2"/>
  </r>
  <r>
    <s v="TX501059"/>
    <x v="9"/>
    <x v="15"/>
    <n v="22.9"/>
    <n v="297.7"/>
    <x v="41"/>
    <d v="2025-02-12T00:00:00"/>
    <x v="2"/>
    <x v="0"/>
    <x v="1"/>
    <x v="0"/>
    <x v="44"/>
    <x v="3"/>
    <x v="6"/>
    <x v="2"/>
  </r>
  <r>
    <s v="TX501060"/>
    <x v="15"/>
    <x v="10"/>
    <n v="53.6"/>
    <n v="1018.4"/>
    <x v="41"/>
    <d v="2025-02-12T00:00:00"/>
    <x v="1"/>
    <x v="0"/>
    <x v="0"/>
    <x v="0"/>
    <x v="22"/>
    <x v="3"/>
    <x v="6"/>
    <x v="1"/>
  </r>
  <r>
    <s v="TX501061"/>
    <x v="18"/>
    <x v="1"/>
    <n v="30.2"/>
    <n v="60.4"/>
    <x v="41"/>
    <d v="2025-02-13T00:00:00"/>
    <x v="0"/>
    <x v="2"/>
    <x v="2"/>
    <x v="0"/>
    <x v="3"/>
    <x v="1"/>
    <x v="6"/>
    <x v="0"/>
  </r>
  <r>
    <s v="TX501062"/>
    <x v="15"/>
    <x v="13"/>
    <n v="83.4"/>
    <n v="500.40000000000003"/>
    <x v="41"/>
    <d v="2025-02-12T00:00:00"/>
    <x v="1"/>
    <x v="1"/>
    <x v="2"/>
    <x v="0"/>
    <x v="3"/>
    <x v="3"/>
    <x v="6"/>
    <x v="1"/>
  </r>
  <r>
    <s v="TX501063"/>
    <x v="13"/>
    <x v="4"/>
    <n v="16.600000000000001"/>
    <n v="199.20000000000002"/>
    <x v="41"/>
    <d v="2025-02-13T00:00:00"/>
    <x v="1"/>
    <x v="1"/>
    <x v="0"/>
    <x v="0"/>
    <x v="3"/>
    <x v="1"/>
    <x v="6"/>
    <x v="1"/>
  </r>
  <r>
    <s v="TX501064"/>
    <x v="8"/>
    <x v="14"/>
    <n v="21.9"/>
    <n v="372.29999999999995"/>
    <x v="41"/>
    <d v="2025-02-13T00:00:00"/>
    <x v="2"/>
    <x v="4"/>
    <x v="1"/>
    <x v="0"/>
    <x v="3"/>
    <x v="1"/>
    <x v="6"/>
    <x v="2"/>
  </r>
  <r>
    <s v="TX501065"/>
    <x v="8"/>
    <x v="31"/>
    <n v="33.799999999999997"/>
    <n v="946.39999999999986"/>
    <x v="41"/>
    <d v="2025-02-13T00:00:00"/>
    <x v="1"/>
    <x v="2"/>
    <x v="4"/>
    <x v="0"/>
    <x v="3"/>
    <x v="1"/>
    <x v="6"/>
    <x v="1"/>
  </r>
  <r>
    <s v="TX501066"/>
    <x v="18"/>
    <x v="1"/>
    <n v="53.2"/>
    <n v="106.4"/>
    <x v="41"/>
    <d v="2025-02-11T00:00:00"/>
    <x v="1"/>
    <x v="1"/>
    <x v="0"/>
    <x v="0"/>
    <x v="3"/>
    <x v="7"/>
    <x v="6"/>
    <x v="1"/>
  </r>
  <r>
    <s v="TX501067"/>
    <x v="2"/>
    <x v="1"/>
    <n v="176.7"/>
    <n v="353.4"/>
    <x v="41"/>
    <d v="2025-02-14T00:00:00"/>
    <x v="2"/>
    <x v="2"/>
    <x v="0"/>
    <x v="0"/>
    <x v="3"/>
    <x v="2"/>
    <x v="6"/>
    <x v="2"/>
  </r>
  <r>
    <s v="TX501068"/>
    <x v="12"/>
    <x v="2"/>
    <n v="54"/>
    <n v="162"/>
    <x v="41"/>
    <d v="2025-02-14T00:00:00"/>
    <x v="1"/>
    <x v="0"/>
    <x v="1"/>
    <x v="0"/>
    <x v="3"/>
    <x v="2"/>
    <x v="6"/>
    <x v="1"/>
  </r>
  <r>
    <s v="TX501069"/>
    <x v="9"/>
    <x v="1"/>
    <n v="70.099999999999994"/>
    <n v="140.19999999999999"/>
    <x v="41"/>
    <d v="2025-02-19T00:00:00"/>
    <x v="2"/>
    <x v="3"/>
    <x v="2"/>
    <x v="0"/>
    <x v="3"/>
    <x v="9"/>
    <x v="6"/>
    <x v="2"/>
  </r>
  <r>
    <s v="TX501070"/>
    <x v="8"/>
    <x v="0"/>
    <n v="26.5"/>
    <n v="26.5"/>
    <x v="41"/>
    <d v="2025-02-13T00:00:00"/>
    <x v="2"/>
    <x v="1"/>
    <x v="0"/>
    <x v="0"/>
    <x v="3"/>
    <x v="1"/>
    <x v="6"/>
    <x v="2"/>
  </r>
  <r>
    <s v="TX501071"/>
    <x v="7"/>
    <x v="9"/>
    <n v="89"/>
    <n v="445"/>
    <x v="41"/>
    <d v="2025-02-13T00:00:00"/>
    <x v="1"/>
    <x v="2"/>
    <x v="4"/>
    <x v="0"/>
    <x v="3"/>
    <x v="1"/>
    <x v="6"/>
    <x v="1"/>
  </r>
  <r>
    <s v="TX501072"/>
    <x v="1"/>
    <x v="13"/>
    <n v="47"/>
    <n v="282"/>
    <x v="41"/>
    <d v="2025-02-14T00:00:00"/>
    <x v="2"/>
    <x v="3"/>
    <x v="0"/>
    <x v="0"/>
    <x v="24"/>
    <x v="2"/>
    <x v="6"/>
    <x v="2"/>
  </r>
  <r>
    <s v="TX501073"/>
    <x v="3"/>
    <x v="1"/>
    <n v="55.2"/>
    <n v="110.4"/>
    <x v="41"/>
    <d v="2025-02-14T00:00:00"/>
    <x v="1"/>
    <x v="1"/>
    <x v="1"/>
    <x v="0"/>
    <x v="6"/>
    <x v="2"/>
    <x v="6"/>
    <x v="1"/>
  </r>
  <r>
    <s v="TX501074"/>
    <x v="8"/>
    <x v="39"/>
    <n v="33.299999999999997"/>
    <n v="1398.6"/>
    <x v="41"/>
    <d v="2025-02-25T00:00:00"/>
    <x v="1"/>
    <x v="1"/>
    <x v="2"/>
    <x v="0"/>
    <x v="6"/>
    <x v="12"/>
    <x v="6"/>
    <x v="1"/>
  </r>
  <r>
    <s v="TX501075"/>
    <x v="2"/>
    <x v="12"/>
    <n v="110.9"/>
    <n v="443.6"/>
    <x v="42"/>
    <d v="2025-02-12T00:00:00"/>
    <x v="1"/>
    <x v="2"/>
    <x v="4"/>
    <x v="0"/>
    <x v="6"/>
    <x v="7"/>
    <x v="6"/>
    <x v="1"/>
  </r>
  <r>
    <s v="TX501076"/>
    <x v="2"/>
    <x v="13"/>
    <n v="67.3"/>
    <n v="403.79999999999995"/>
    <x v="42"/>
    <d v="2025-02-13T00:00:00"/>
    <x v="1"/>
    <x v="0"/>
    <x v="0"/>
    <x v="0"/>
    <x v="8"/>
    <x v="3"/>
    <x v="6"/>
    <x v="1"/>
  </r>
  <r>
    <s v="TX501077"/>
    <x v="6"/>
    <x v="2"/>
    <n v="69.7"/>
    <n v="209.10000000000002"/>
    <x v="42"/>
    <d v="2025-02-13T00:00:00"/>
    <x v="1"/>
    <x v="2"/>
    <x v="1"/>
    <x v="0"/>
    <x v="8"/>
    <x v="3"/>
    <x v="6"/>
    <x v="1"/>
  </r>
  <r>
    <s v="TX501078"/>
    <x v="5"/>
    <x v="0"/>
    <n v="39.1"/>
    <n v="39.1"/>
    <x v="42"/>
    <d v="2025-02-17T00:00:00"/>
    <x v="1"/>
    <x v="0"/>
    <x v="1"/>
    <x v="0"/>
    <x v="17"/>
    <x v="0"/>
    <x v="6"/>
    <x v="1"/>
  </r>
  <r>
    <s v="TX501079"/>
    <x v="2"/>
    <x v="2"/>
    <n v="208.6"/>
    <n v="625.79999999999995"/>
    <x v="42"/>
    <d v="2025-02-12T00:00:00"/>
    <x v="1"/>
    <x v="4"/>
    <x v="2"/>
    <x v="0"/>
    <x v="17"/>
    <x v="7"/>
    <x v="6"/>
    <x v="1"/>
  </r>
  <r>
    <s v="TX501080"/>
    <x v="15"/>
    <x v="2"/>
    <n v="27.8"/>
    <n v="83.4"/>
    <x v="42"/>
    <d v="2025-02-13T00:00:00"/>
    <x v="1"/>
    <x v="3"/>
    <x v="1"/>
    <x v="0"/>
    <x v="11"/>
    <x v="3"/>
    <x v="6"/>
    <x v="1"/>
  </r>
  <r>
    <s v="TX501081"/>
    <x v="10"/>
    <x v="9"/>
    <n v="29.4"/>
    <n v="147"/>
    <x v="42"/>
    <d v="2025-02-14T00:00:00"/>
    <x v="2"/>
    <x v="0"/>
    <x v="0"/>
    <x v="0"/>
    <x v="11"/>
    <x v="1"/>
    <x v="6"/>
    <x v="2"/>
  </r>
  <r>
    <s v="TX501082"/>
    <x v="9"/>
    <x v="1"/>
    <n v="29.2"/>
    <n v="58.4"/>
    <x v="42"/>
    <d v="2025-02-14T00:00:00"/>
    <x v="2"/>
    <x v="1"/>
    <x v="2"/>
    <x v="0"/>
    <x v="20"/>
    <x v="1"/>
    <x v="6"/>
    <x v="2"/>
  </r>
  <r>
    <s v="TX501083"/>
    <x v="10"/>
    <x v="9"/>
    <n v="26.5"/>
    <n v="132.5"/>
    <x v="42"/>
    <d v="2025-02-14T00:00:00"/>
    <x v="2"/>
    <x v="0"/>
    <x v="0"/>
    <x v="0"/>
    <x v="52"/>
    <x v="1"/>
    <x v="6"/>
    <x v="2"/>
  </r>
  <r>
    <s v="TX501084"/>
    <x v="5"/>
    <x v="0"/>
    <n v="30.3"/>
    <n v="30.3"/>
    <x v="42"/>
    <d v="2025-02-13T00:00:00"/>
    <x v="2"/>
    <x v="4"/>
    <x v="1"/>
    <x v="0"/>
    <x v="13"/>
    <x v="3"/>
    <x v="6"/>
    <x v="2"/>
  </r>
  <r>
    <s v="TX501085"/>
    <x v="16"/>
    <x v="4"/>
    <n v="39.700000000000003"/>
    <n v="476.40000000000003"/>
    <x v="42"/>
    <d v="2025-02-13T00:00:00"/>
    <x v="2"/>
    <x v="0"/>
    <x v="0"/>
    <x v="0"/>
    <x v="21"/>
    <x v="3"/>
    <x v="6"/>
    <x v="2"/>
  </r>
  <r>
    <s v="TX501086"/>
    <x v="7"/>
    <x v="7"/>
    <n v="58.9"/>
    <n v="589"/>
    <x v="42"/>
    <d v="2025-02-14T00:00:00"/>
    <x v="2"/>
    <x v="1"/>
    <x v="4"/>
    <x v="0"/>
    <x v="21"/>
    <x v="1"/>
    <x v="6"/>
    <x v="2"/>
  </r>
  <r>
    <s v="TX501087"/>
    <x v="2"/>
    <x v="1"/>
    <n v="174.1"/>
    <n v="348.2"/>
    <x v="42"/>
    <d v="2025-02-14T00:00:00"/>
    <x v="2"/>
    <x v="0"/>
    <x v="1"/>
    <x v="0"/>
    <x v="46"/>
    <x v="1"/>
    <x v="6"/>
    <x v="2"/>
  </r>
  <r>
    <s v="TX501088"/>
    <x v="6"/>
    <x v="1"/>
    <n v="70.8"/>
    <n v="141.6"/>
    <x v="42"/>
    <d v="2025-02-15T00:00:00"/>
    <x v="1"/>
    <x v="2"/>
    <x v="0"/>
    <x v="0"/>
    <x v="22"/>
    <x v="2"/>
    <x v="6"/>
    <x v="1"/>
  </r>
  <r>
    <s v="TX501089"/>
    <x v="7"/>
    <x v="1"/>
    <n v="57.4"/>
    <n v="114.8"/>
    <x v="42"/>
    <d v="2025-02-14T00:00:00"/>
    <x v="2"/>
    <x v="1"/>
    <x v="1"/>
    <x v="0"/>
    <x v="34"/>
    <x v="1"/>
    <x v="6"/>
    <x v="2"/>
  </r>
  <r>
    <s v="TX501090"/>
    <x v="0"/>
    <x v="1"/>
    <n v="28.5"/>
    <n v="57"/>
    <x v="42"/>
    <d v="2025-02-14T00:00:00"/>
    <x v="1"/>
    <x v="3"/>
    <x v="1"/>
    <x v="0"/>
    <x v="3"/>
    <x v="1"/>
    <x v="6"/>
    <x v="1"/>
  </r>
  <r>
    <s v="TX501091"/>
    <x v="2"/>
    <x v="28"/>
    <n v="106.6"/>
    <n v="2132"/>
    <x v="42"/>
    <d v="2025-02-13T00:00:00"/>
    <x v="0"/>
    <x v="1"/>
    <x v="4"/>
    <x v="0"/>
    <x v="3"/>
    <x v="3"/>
    <x v="6"/>
    <x v="0"/>
  </r>
  <r>
    <s v="TX501092"/>
    <x v="2"/>
    <x v="2"/>
    <n v="119.7"/>
    <n v="359.1"/>
    <x v="42"/>
    <d v="2025-02-13T00:00:00"/>
    <x v="2"/>
    <x v="1"/>
    <x v="4"/>
    <x v="0"/>
    <x v="3"/>
    <x v="3"/>
    <x v="6"/>
    <x v="2"/>
  </r>
  <r>
    <s v="TX501093"/>
    <x v="18"/>
    <x v="0"/>
    <n v="73.3"/>
    <n v="73.3"/>
    <x v="42"/>
    <d v="2025-02-17T00:00:00"/>
    <x v="2"/>
    <x v="0"/>
    <x v="2"/>
    <x v="0"/>
    <x v="3"/>
    <x v="0"/>
    <x v="6"/>
    <x v="2"/>
  </r>
  <r>
    <s v="TX501094"/>
    <x v="0"/>
    <x v="1"/>
    <n v="25.8"/>
    <n v="51.6"/>
    <x v="42"/>
    <d v="2025-02-26T00:00:00"/>
    <x v="1"/>
    <x v="2"/>
    <x v="0"/>
    <x v="0"/>
    <x v="3"/>
    <x v="12"/>
    <x v="6"/>
    <x v="1"/>
  </r>
  <r>
    <s v="TX501095"/>
    <x v="17"/>
    <x v="2"/>
    <n v="49.1"/>
    <n v="147.30000000000001"/>
    <x v="42"/>
    <d v="2025-02-14T00:00:00"/>
    <x v="2"/>
    <x v="0"/>
    <x v="0"/>
    <x v="0"/>
    <x v="24"/>
    <x v="1"/>
    <x v="6"/>
    <x v="2"/>
  </r>
  <r>
    <s v="TX501096"/>
    <x v="1"/>
    <x v="0"/>
    <n v="44.9"/>
    <n v="44.9"/>
    <x v="42"/>
    <d v="2025-02-15T00:00:00"/>
    <x v="2"/>
    <x v="3"/>
    <x v="2"/>
    <x v="0"/>
    <x v="6"/>
    <x v="2"/>
    <x v="6"/>
    <x v="2"/>
  </r>
  <r>
    <s v="TX501097"/>
    <x v="15"/>
    <x v="3"/>
    <n v="29.9"/>
    <n v="209.29999999999998"/>
    <x v="42"/>
    <d v="2025-02-13T00:00:00"/>
    <x v="2"/>
    <x v="0"/>
    <x v="0"/>
    <x v="0"/>
    <x v="6"/>
    <x v="3"/>
    <x v="6"/>
    <x v="2"/>
  </r>
  <r>
    <s v="TX501098"/>
    <x v="7"/>
    <x v="1"/>
    <n v="54.3"/>
    <n v="108.6"/>
    <x v="43"/>
    <d v="2025-02-14T00:00:00"/>
    <x v="1"/>
    <x v="3"/>
    <x v="0"/>
    <x v="0"/>
    <x v="36"/>
    <x v="3"/>
    <x v="6"/>
    <x v="1"/>
  </r>
  <r>
    <s v="TX501099"/>
    <x v="9"/>
    <x v="12"/>
    <n v="57"/>
    <n v="228"/>
    <x v="43"/>
    <d v="2025-02-15T00:00:00"/>
    <x v="2"/>
    <x v="0"/>
    <x v="0"/>
    <x v="0"/>
    <x v="8"/>
    <x v="1"/>
    <x v="6"/>
    <x v="2"/>
  </r>
  <r>
    <s v="TX501100"/>
    <x v="2"/>
    <x v="0"/>
    <n v="139.19999999999999"/>
    <n v="139.19999999999999"/>
    <x v="43"/>
    <d v="2025-02-14T00:00:00"/>
    <x v="2"/>
    <x v="3"/>
    <x v="2"/>
    <x v="0"/>
    <x v="8"/>
    <x v="3"/>
    <x v="6"/>
    <x v="2"/>
  </r>
  <r>
    <s v="TX501101"/>
    <x v="10"/>
    <x v="0"/>
    <n v="33"/>
    <n v="33"/>
    <x v="43"/>
    <d v="2025-02-16T00:00:00"/>
    <x v="2"/>
    <x v="0"/>
    <x v="2"/>
    <x v="0"/>
    <x v="8"/>
    <x v="2"/>
    <x v="6"/>
    <x v="2"/>
  </r>
  <r>
    <s v="TX501102"/>
    <x v="11"/>
    <x v="13"/>
    <n v="80.2"/>
    <n v="481.20000000000005"/>
    <x v="43"/>
    <d v="2025-02-15T00:00:00"/>
    <x v="1"/>
    <x v="1"/>
    <x v="4"/>
    <x v="0"/>
    <x v="8"/>
    <x v="1"/>
    <x v="6"/>
    <x v="1"/>
  </r>
  <r>
    <s v="TX501103"/>
    <x v="18"/>
    <x v="8"/>
    <n v="49"/>
    <n v="392"/>
    <x v="43"/>
    <d v="2025-02-14T00:00:00"/>
    <x v="0"/>
    <x v="2"/>
    <x v="1"/>
    <x v="0"/>
    <x v="9"/>
    <x v="3"/>
    <x v="6"/>
    <x v="0"/>
  </r>
  <r>
    <s v="TX501104"/>
    <x v="1"/>
    <x v="12"/>
    <n v="104.4"/>
    <n v="417.6"/>
    <x v="43"/>
    <d v="2025-02-13T00:00:00"/>
    <x v="2"/>
    <x v="0"/>
    <x v="0"/>
    <x v="0"/>
    <x v="9"/>
    <x v="7"/>
    <x v="6"/>
    <x v="2"/>
  </r>
  <r>
    <s v="TX501105"/>
    <x v="3"/>
    <x v="0"/>
    <n v="41.6"/>
    <n v="41.6"/>
    <x v="43"/>
    <d v="2025-02-16T00:00:00"/>
    <x v="1"/>
    <x v="3"/>
    <x v="0"/>
    <x v="0"/>
    <x v="11"/>
    <x v="2"/>
    <x v="6"/>
    <x v="1"/>
  </r>
  <r>
    <s v="TX501106"/>
    <x v="19"/>
    <x v="1"/>
    <n v="16.399999999999999"/>
    <n v="32.799999999999997"/>
    <x v="43"/>
    <d v="2025-02-14T00:00:00"/>
    <x v="3"/>
    <x v="0"/>
    <x v="2"/>
    <x v="0"/>
    <x v="11"/>
    <x v="3"/>
    <x v="6"/>
    <x v="3"/>
  </r>
  <r>
    <s v="TX501107"/>
    <x v="8"/>
    <x v="1"/>
    <n v="22"/>
    <n v="44"/>
    <x v="43"/>
    <d v="2025-02-14T00:00:00"/>
    <x v="1"/>
    <x v="2"/>
    <x v="2"/>
    <x v="0"/>
    <x v="53"/>
    <x v="3"/>
    <x v="6"/>
    <x v="1"/>
  </r>
  <r>
    <s v="TX501108"/>
    <x v="15"/>
    <x v="1"/>
    <n v="33.6"/>
    <n v="67.2"/>
    <x v="43"/>
    <d v="2025-02-18T00:00:00"/>
    <x v="2"/>
    <x v="0"/>
    <x v="0"/>
    <x v="0"/>
    <x v="21"/>
    <x v="0"/>
    <x v="6"/>
    <x v="2"/>
  </r>
  <r>
    <s v="TX501109"/>
    <x v="11"/>
    <x v="13"/>
    <n v="43"/>
    <n v="258"/>
    <x v="43"/>
    <d v="2025-02-14T00:00:00"/>
    <x v="2"/>
    <x v="2"/>
    <x v="0"/>
    <x v="0"/>
    <x v="21"/>
    <x v="3"/>
    <x v="6"/>
    <x v="2"/>
  </r>
  <r>
    <s v="TX501110"/>
    <x v="6"/>
    <x v="9"/>
    <n v="108.8"/>
    <n v="544"/>
    <x v="43"/>
    <d v="2025-02-16T00:00:00"/>
    <x v="2"/>
    <x v="4"/>
    <x v="2"/>
    <x v="0"/>
    <x v="21"/>
    <x v="2"/>
    <x v="6"/>
    <x v="2"/>
  </r>
  <r>
    <s v="TX501111"/>
    <x v="0"/>
    <x v="11"/>
    <n v="29.3"/>
    <n v="263.7"/>
    <x v="43"/>
    <d v="2025-02-15T00:00:00"/>
    <x v="1"/>
    <x v="4"/>
    <x v="2"/>
    <x v="0"/>
    <x v="21"/>
    <x v="1"/>
    <x v="6"/>
    <x v="1"/>
  </r>
  <r>
    <s v="TX501112"/>
    <x v="2"/>
    <x v="0"/>
    <n v="122.7"/>
    <n v="122.7"/>
    <x v="43"/>
    <d v="2025-02-16T00:00:00"/>
    <x v="3"/>
    <x v="0"/>
    <x v="2"/>
    <x v="0"/>
    <x v="1"/>
    <x v="2"/>
    <x v="6"/>
    <x v="3"/>
  </r>
  <r>
    <s v="TX501113"/>
    <x v="4"/>
    <x v="3"/>
    <n v="22.9"/>
    <n v="160.29999999999998"/>
    <x v="43"/>
    <d v="2025-02-14T00:00:00"/>
    <x v="2"/>
    <x v="0"/>
    <x v="0"/>
    <x v="0"/>
    <x v="42"/>
    <x v="3"/>
    <x v="6"/>
    <x v="2"/>
  </r>
  <r>
    <s v="TX501114"/>
    <x v="8"/>
    <x v="7"/>
    <n v="25.5"/>
    <n v="255"/>
    <x v="43"/>
    <d v="2025-02-20T00:00:00"/>
    <x v="2"/>
    <x v="0"/>
    <x v="0"/>
    <x v="0"/>
    <x v="33"/>
    <x v="6"/>
    <x v="6"/>
    <x v="2"/>
  </r>
  <r>
    <s v="TX501115"/>
    <x v="17"/>
    <x v="2"/>
    <n v="23.4"/>
    <n v="70.199999999999989"/>
    <x v="43"/>
    <d v="2025-02-17T00:00:00"/>
    <x v="2"/>
    <x v="0"/>
    <x v="2"/>
    <x v="0"/>
    <x v="3"/>
    <x v="5"/>
    <x v="6"/>
    <x v="2"/>
  </r>
  <r>
    <s v="TX501116"/>
    <x v="5"/>
    <x v="8"/>
    <n v="27.4"/>
    <n v="219.2"/>
    <x v="43"/>
    <d v="2025-02-16T00:00:00"/>
    <x v="2"/>
    <x v="2"/>
    <x v="0"/>
    <x v="0"/>
    <x v="3"/>
    <x v="2"/>
    <x v="6"/>
    <x v="2"/>
  </r>
  <r>
    <s v="TX501117"/>
    <x v="5"/>
    <x v="9"/>
    <n v="68.400000000000006"/>
    <n v="342"/>
    <x v="43"/>
    <d v="2025-02-14T00:00:00"/>
    <x v="2"/>
    <x v="0"/>
    <x v="0"/>
    <x v="0"/>
    <x v="3"/>
    <x v="3"/>
    <x v="6"/>
    <x v="2"/>
  </r>
  <r>
    <s v="TX501118"/>
    <x v="6"/>
    <x v="0"/>
    <n v="51.9"/>
    <n v="51.9"/>
    <x v="43"/>
    <d v="2025-02-13T00:00:00"/>
    <x v="2"/>
    <x v="0"/>
    <x v="0"/>
    <x v="0"/>
    <x v="3"/>
    <x v="7"/>
    <x v="6"/>
    <x v="2"/>
  </r>
  <r>
    <s v="TX501119"/>
    <x v="0"/>
    <x v="9"/>
    <n v="26.4"/>
    <n v="132"/>
    <x v="43"/>
    <d v="2025-02-16T00:00:00"/>
    <x v="2"/>
    <x v="0"/>
    <x v="2"/>
    <x v="0"/>
    <x v="3"/>
    <x v="2"/>
    <x v="6"/>
    <x v="2"/>
  </r>
  <r>
    <s v="TX501120"/>
    <x v="12"/>
    <x v="1"/>
    <n v="117"/>
    <n v="234"/>
    <x v="43"/>
    <d v="2025-02-14T00:00:00"/>
    <x v="2"/>
    <x v="1"/>
    <x v="1"/>
    <x v="0"/>
    <x v="3"/>
    <x v="3"/>
    <x v="6"/>
    <x v="2"/>
  </r>
  <r>
    <s v="TX501121"/>
    <x v="7"/>
    <x v="2"/>
    <n v="49.6"/>
    <n v="148.80000000000001"/>
    <x v="44"/>
    <d v="2025-02-16T00:00:00"/>
    <x v="2"/>
    <x v="0"/>
    <x v="0"/>
    <x v="0"/>
    <x v="3"/>
    <x v="1"/>
    <x v="6"/>
    <x v="2"/>
  </r>
  <r>
    <s v="TX501122"/>
    <x v="4"/>
    <x v="2"/>
    <n v="38"/>
    <n v="114"/>
    <x v="44"/>
    <d v="2025-02-17T00:00:00"/>
    <x v="1"/>
    <x v="2"/>
    <x v="4"/>
    <x v="0"/>
    <x v="3"/>
    <x v="2"/>
    <x v="6"/>
    <x v="1"/>
  </r>
  <r>
    <s v="TX501123"/>
    <x v="0"/>
    <x v="2"/>
    <n v="20.6"/>
    <n v="61.800000000000004"/>
    <x v="44"/>
    <d v="2025-02-16T00:00:00"/>
    <x v="2"/>
    <x v="4"/>
    <x v="2"/>
    <x v="0"/>
    <x v="3"/>
    <x v="1"/>
    <x v="6"/>
    <x v="2"/>
  </r>
  <r>
    <s v="TX501124"/>
    <x v="0"/>
    <x v="1"/>
    <n v="16"/>
    <n v="32"/>
    <x v="44"/>
    <d v="2025-02-15T00:00:00"/>
    <x v="1"/>
    <x v="1"/>
    <x v="1"/>
    <x v="0"/>
    <x v="49"/>
    <x v="3"/>
    <x v="6"/>
    <x v="1"/>
  </r>
  <r>
    <s v="TX501125"/>
    <x v="15"/>
    <x v="12"/>
    <n v="49.3"/>
    <n v="197.2"/>
    <x v="44"/>
    <d v="2025-02-15T00:00:00"/>
    <x v="2"/>
    <x v="2"/>
    <x v="0"/>
    <x v="0"/>
    <x v="23"/>
    <x v="3"/>
    <x v="6"/>
    <x v="2"/>
  </r>
  <r>
    <s v="TX501126"/>
    <x v="9"/>
    <x v="1"/>
    <n v="24.1"/>
    <n v="48.2"/>
    <x v="44"/>
    <d v="2025-02-18T00:00:00"/>
    <x v="2"/>
    <x v="0"/>
    <x v="0"/>
    <x v="0"/>
    <x v="6"/>
    <x v="5"/>
    <x v="6"/>
    <x v="2"/>
  </r>
  <r>
    <s v="TX501127"/>
    <x v="15"/>
    <x v="8"/>
    <n v="32.700000000000003"/>
    <n v="261.60000000000002"/>
    <x v="44"/>
    <d v="2025-02-15T00:00:00"/>
    <x v="2"/>
    <x v="1"/>
    <x v="0"/>
    <x v="0"/>
    <x v="6"/>
    <x v="3"/>
    <x v="6"/>
    <x v="2"/>
  </r>
  <r>
    <s v="TX501128"/>
    <x v="6"/>
    <x v="2"/>
    <n v="74.400000000000006"/>
    <n v="223.20000000000002"/>
    <x v="44"/>
    <d v="2025-02-15T00:00:00"/>
    <x v="2"/>
    <x v="3"/>
    <x v="2"/>
    <x v="0"/>
    <x v="8"/>
    <x v="3"/>
    <x v="6"/>
    <x v="2"/>
  </r>
  <r>
    <s v="TX501129"/>
    <x v="12"/>
    <x v="0"/>
    <n v="45.6"/>
    <n v="45.6"/>
    <x v="44"/>
    <d v="2025-02-18T00:00:00"/>
    <x v="2"/>
    <x v="4"/>
    <x v="0"/>
    <x v="0"/>
    <x v="8"/>
    <x v="5"/>
    <x v="6"/>
    <x v="2"/>
  </r>
  <r>
    <s v="TX501130"/>
    <x v="8"/>
    <x v="8"/>
    <n v="19.600000000000001"/>
    <n v="156.80000000000001"/>
    <x v="44"/>
    <d v="2025-02-27T00:00:00"/>
    <x v="2"/>
    <x v="0"/>
    <x v="0"/>
    <x v="0"/>
    <x v="8"/>
    <x v="10"/>
    <x v="6"/>
    <x v="2"/>
  </r>
  <r>
    <s v="TX501131"/>
    <x v="9"/>
    <x v="0"/>
    <n v="51.8"/>
    <n v="51.8"/>
    <x v="44"/>
    <d v="2025-02-15T00:00:00"/>
    <x v="2"/>
    <x v="1"/>
    <x v="0"/>
    <x v="0"/>
    <x v="8"/>
    <x v="3"/>
    <x v="6"/>
    <x v="2"/>
  </r>
  <r>
    <s v="TX501132"/>
    <x v="6"/>
    <x v="0"/>
    <n v="74.7"/>
    <n v="74.7"/>
    <x v="44"/>
    <d v="2025-02-15T00:00:00"/>
    <x v="1"/>
    <x v="0"/>
    <x v="1"/>
    <x v="0"/>
    <x v="8"/>
    <x v="3"/>
    <x v="6"/>
    <x v="1"/>
  </r>
  <r>
    <s v="TX501133"/>
    <x v="19"/>
    <x v="2"/>
    <n v="22.4"/>
    <n v="67.199999999999989"/>
    <x v="44"/>
    <d v="2025-02-15T00:00:00"/>
    <x v="2"/>
    <x v="1"/>
    <x v="2"/>
    <x v="0"/>
    <x v="9"/>
    <x v="3"/>
    <x v="6"/>
    <x v="2"/>
  </r>
  <r>
    <s v="TX501134"/>
    <x v="1"/>
    <x v="12"/>
    <n v="31.4"/>
    <n v="125.6"/>
    <x v="44"/>
    <d v="2025-02-15T00:00:00"/>
    <x v="2"/>
    <x v="1"/>
    <x v="0"/>
    <x v="0"/>
    <x v="9"/>
    <x v="3"/>
    <x v="6"/>
    <x v="2"/>
  </r>
  <r>
    <s v="TX501135"/>
    <x v="6"/>
    <x v="0"/>
    <n v="94"/>
    <n v="94"/>
    <x v="44"/>
    <d v="2025-02-14T00:00:00"/>
    <x v="2"/>
    <x v="1"/>
    <x v="2"/>
    <x v="0"/>
    <x v="10"/>
    <x v="7"/>
    <x v="6"/>
    <x v="2"/>
  </r>
  <r>
    <s v="TX501136"/>
    <x v="10"/>
    <x v="0"/>
    <n v="22.3"/>
    <n v="22.3"/>
    <x v="44"/>
    <d v="2025-02-15T00:00:00"/>
    <x v="1"/>
    <x v="4"/>
    <x v="0"/>
    <x v="0"/>
    <x v="20"/>
    <x v="3"/>
    <x v="6"/>
    <x v="1"/>
  </r>
  <r>
    <s v="TX501137"/>
    <x v="0"/>
    <x v="0"/>
    <n v="21.9"/>
    <n v="21.9"/>
    <x v="44"/>
    <d v="2025-02-17T00:00:00"/>
    <x v="2"/>
    <x v="2"/>
    <x v="0"/>
    <x v="0"/>
    <x v="21"/>
    <x v="2"/>
    <x v="6"/>
    <x v="2"/>
  </r>
  <r>
    <s v="TX501138"/>
    <x v="17"/>
    <x v="2"/>
    <n v="27"/>
    <n v="81"/>
    <x v="44"/>
    <d v="2025-02-16T00:00:00"/>
    <x v="2"/>
    <x v="4"/>
    <x v="2"/>
    <x v="0"/>
    <x v="2"/>
    <x v="1"/>
    <x v="6"/>
    <x v="2"/>
  </r>
  <r>
    <s v="TX501139"/>
    <x v="2"/>
    <x v="12"/>
    <n v="149.6"/>
    <n v="598.4"/>
    <x v="44"/>
    <d v="2025-02-14T00:00:00"/>
    <x v="2"/>
    <x v="4"/>
    <x v="0"/>
    <x v="0"/>
    <x v="22"/>
    <x v="7"/>
    <x v="6"/>
    <x v="2"/>
  </r>
  <r>
    <s v="TX501140"/>
    <x v="2"/>
    <x v="12"/>
    <n v="129.1"/>
    <n v="516.4"/>
    <x v="44"/>
    <d v="2025-02-24T00:00:00"/>
    <x v="1"/>
    <x v="0"/>
    <x v="1"/>
    <x v="0"/>
    <x v="3"/>
    <x v="14"/>
    <x v="6"/>
    <x v="1"/>
  </r>
  <r>
    <s v="TX501141"/>
    <x v="1"/>
    <x v="4"/>
    <n v="40.4"/>
    <n v="484.79999999999995"/>
    <x v="44"/>
    <d v="2025-02-15T00:00:00"/>
    <x v="1"/>
    <x v="1"/>
    <x v="1"/>
    <x v="0"/>
    <x v="3"/>
    <x v="3"/>
    <x v="6"/>
    <x v="1"/>
  </r>
  <r>
    <s v="TX501142"/>
    <x v="4"/>
    <x v="2"/>
    <n v="48.5"/>
    <n v="145.5"/>
    <x v="44"/>
    <d v="2025-02-16T00:00:00"/>
    <x v="2"/>
    <x v="0"/>
    <x v="4"/>
    <x v="0"/>
    <x v="3"/>
    <x v="1"/>
    <x v="6"/>
    <x v="2"/>
  </r>
  <r>
    <s v="TX501143"/>
    <x v="9"/>
    <x v="1"/>
    <n v="37.6"/>
    <n v="75.2"/>
    <x v="44"/>
    <d v="2025-02-16T00:00:00"/>
    <x v="2"/>
    <x v="1"/>
    <x v="2"/>
    <x v="0"/>
    <x v="3"/>
    <x v="1"/>
    <x v="6"/>
    <x v="2"/>
  </r>
  <r>
    <s v="TX501144"/>
    <x v="8"/>
    <x v="1"/>
    <n v="19.600000000000001"/>
    <n v="39.200000000000003"/>
    <x v="44"/>
    <d v="2025-02-15T00:00:00"/>
    <x v="1"/>
    <x v="3"/>
    <x v="4"/>
    <x v="0"/>
    <x v="43"/>
    <x v="3"/>
    <x v="6"/>
    <x v="1"/>
  </r>
  <r>
    <s v="TX501145"/>
    <x v="8"/>
    <x v="9"/>
    <n v="18.5"/>
    <n v="92.5"/>
    <x v="44"/>
    <d v="2025-02-15T00:00:00"/>
    <x v="2"/>
    <x v="2"/>
    <x v="1"/>
    <x v="0"/>
    <x v="6"/>
    <x v="3"/>
    <x v="6"/>
    <x v="2"/>
  </r>
  <r>
    <s v="TX501146"/>
    <x v="5"/>
    <x v="2"/>
    <n v="25.5"/>
    <n v="76.5"/>
    <x v="44"/>
    <d v="2025-02-16T00:00:00"/>
    <x v="2"/>
    <x v="4"/>
    <x v="1"/>
    <x v="0"/>
    <x v="6"/>
    <x v="1"/>
    <x v="6"/>
    <x v="2"/>
  </r>
  <r>
    <s v="TX501147"/>
    <x v="2"/>
    <x v="1"/>
    <n v="94.7"/>
    <n v="189.4"/>
    <x v="44"/>
    <d v="2025-02-15T00:00:00"/>
    <x v="2"/>
    <x v="2"/>
    <x v="0"/>
    <x v="0"/>
    <x v="36"/>
    <x v="3"/>
    <x v="6"/>
    <x v="2"/>
  </r>
  <r>
    <s v="TX501148"/>
    <x v="1"/>
    <x v="13"/>
    <n v="38.799999999999997"/>
    <n v="232.79999999999998"/>
    <x v="44"/>
    <d v="2025-02-19T00:00:00"/>
    <x v="2"/>
    <x v="2"/>
    <x v="2"/>
    <x v="0"/>
    <x v="8"/>
    <x v="0"/>
    <x v="6"/>
    <x v="2"/>
  </r>
  <r>
    <s v="TX501149"/>
    <x v="9"/>
    <x v="1"/>
    <n v="49.4"/>
    <n v="98.8"/>
    <x v="45"/>
    <d v="2025-02-23T00:00:00"/>
    <x v="1"/>
    <x v="4"/>
    <x v="1"/>
    <x v="0"/>
    <x v="8"/>
    <x v="9"/>
    <x v="6"/>
    <x v="1"/>
  </r>
  <r>
    <s v="TX501150"/>
    <x v="7"/>
    <x v="2"/>
    <n v="68"/>
    <n v="204"/>
    <x v="45"/>
    <d v="2025-02-18T00:00:00"/>
    <x v="1"/>
    <x v="0"/>
    <x v="2"/>
    <x v="0"/>
    <x v="8"/>
    <x v="2"/>
    <x v="6"/>
    <x v="1"/>
  </r>
  <r>
    <s v="TX501151"/>
    <x v="15"/>
    <x v="3"/>
    <n v="63.7"/>
    <n v="445.90000000000003"/>
    <x v="45"/>
    <d v="2025-02-16T00:00:00"/>
    <x v="2"/>
    <x v="2"/>
    <x v="2"/>
    <x v="0"/>
    <x v="8"/>
    <x v="3"/>
    <x v="6"/>
    <x v="2"/>
  </r>
  <r>
    <s v="TX501152"/>
    <x v="10"/>
    <x v="1"/>
    <n v="66.2"/>
    <n v="132.4"/>
    <x v="45"/>
    <d v="2025-02-16T00:00:00"/>
    <x v="2"/>
    <x v="4"/>
    <x v="2"/>
    <x v="0"/>
    <x v="17"/>
    <x v="3"/>
    <x v="6"/>
    <x v="2"/>
  </r>
  <r>
    <s v="TX501153"/>
    <x v="12"/>
    <x v="2"/>
    <n v="32.299999999999997"/>
    <n v="96.899999999999991"/>
    <x v="45"/>
    <d v="2025-02-16T00:00:00"/>
    <x v="3"/>
    <x v="2"/>
    <x v="1"/>
    <x v="0"/>
    <x v="9"/>
    <x v="3"/>
    <x v="6"/>
    <x v="3"/>
  </r>
  <r>
    <s v="TX501154"/>
    <x v="4"/>
    <x v="1"/>
    <n v="66.900000000000006"/>
    <n v="133.80000000000001"/>
    <x v="45"/>
    <d v="2025-02-18T00:00:00"/>
    <x v="1"/>
    <x v="1"/>
    <x v="0"/>
    <x v="0"/>
    <x v="11"/>
    <x v="2"/>
    <x v="6"/>
    <x v="1"/>
  </r>
  <r>
    <s v="TX501155"/>
    <x v="4"/>
    <x v="4"/>
    <n v="25.2"/>
    <n v="302.39999999999998"/>
    <x v="45"/>
    <d v="2025-02-19T00:00:00"/>
    <x v="2"/>
    <x v="0"/>
    <x v="1"/>
    <x v="0"/>
    <x v="11"/>
    <x v="5"/>
    <x v="6"/>
    <x v="2"/>
  </r>
  <r>
    <s v="TX501156"/>
    <x v="10"/>
    <x v="13"/>
    <n v="29.5"/>
    <n v="177"/>
    <x v="45"/>
    <d v="2025-02-16T00:00:00"/>
    <x v="1"/>
    <x v="2"/>
    <x v="0"/>
    <x v="0"/>
    <x v="11"/>
    <x v="3"/>
    <x v="6"/>
    <x v="1"/>
  </r>
  <r>
    <s v="TX501157"/>
    <x v="8"/>
    <x v="9"/>
    <n v="21.6"/>
    <n v="108"/>
    <x v="45"/>
    <d v="2025-02-17T00:00:00"/>
    <x v="2"/>
    <x v="0"/>
    <x v="2"/>
    <x v="0"/>
    <x v="32"/>
    <x v="1"/>
    <x v="6"/>
    <x v="2"/>
  </r>
  <r>
    <s v="TX501158"/>
    <x v="12"/>
    <x v="2"/>
    <n v="69"/>
    <n v="207"/>
    <x v="45"/>
    <d v="2025-02-16T00:00:00"/>
    <x v="2"/>
    <x v="0"/>
    <x v="0"/>
    <x v="0"/>
    <x v="18"/>
    <x v="3"/>
    <x v="6"/>
    <x v="2"/>
  </r>
  <r>
    <s v="TX501159"/>
    <x v="7"/>
    <x v="1"/>
    <n v="115"/>
    <n v="230"/>
    <x v="45"/>
    <d v="2025-02-19T00:00:00"/>
    <x v="1"/>
    <x v="0"/>
    <x v="2"/>
    <x v="0"/>
    <x v="18"/>
    <x v="5"/>
    <x v="6"/>
    <x v="1"/>
  </r>
  <r>
    <s v="TX501160"/>
    <x v="2"/>
    <x v="1"/>
    <n v="109.3"/>
    <n v="218.6"/>
    <x v="45"/>
    <d v="2025-02-17T00:00:00"/>
    <x v="0"/>
    <x v="3"/>
    <x v="1"/>
    <x v="0"/>
    <x v="19"/>
    <x v="1"/>
    <x v="6"/>
    <x v="0"/>
  </r>
  <r>
    <s v="TX501161"/>
    <x v="9"/>
    <x v="1"/>
    <n v="66.599999999999994"/>
    <n v="133.19999999999999"/>
    <x v="45"/>
    <d v="2025-02-18T00:00:00"/>
    <x v="0"/>
    <x v="4"/>
    <x v="1"/>
    <x v="0"/>
    <x v="19"/>
    <x v="2"/>
    <x v="6"/>
    <x v="0"/>
  </r>
  <r>
    <s v="TX501162"/>
    <x v="12"/>
    <x v="9"/>
    <n v="47.7"/>
    <n v="238.5"/>
    <x v="45"/>
    <d v="2025-02-16T00:00:00"/>
    <x v="1"/>
    <x v="3"/>
    <x v="2"/>
    <x v="0"/>
    <x v="21"/>
    <x v="3"/>
    <x v="6"/>
    <x v="1"/>
  </r>
  <r>
    <s v="TX501163"/>
    <x v="8"/>
    <x v="1"/>
    <n v="46"/>
    <n v="92"/>
    <x v="45"/>
    <d v="2025-02-16T00:00:00"/>
    <x v="2"/>
    <x v="4"/>
    <x v="4"/>
    <x v="0"/>
    <x v="22"/>
    <x v="3"/>
    <x v="6"/>
    <x v="2"/>
  </r>
  <r>
    <s v="TX501164"/>
    <x v="1"/>
    <x v="13"/>
    <n v="39.299999999999997"/>
    <n v="235.79999999999998"/>
    <x v="45"/>
    <d v="2025-02-17T00:00:00"/>
    <x v="1"/>
    <x v="3"/>
    <x v="2"/>
    <x v="0"/>
    <x v="3"/>
    <x v="1"/>
    <x v="6"/>
    <x v="1"/>
  </r>
  <r>
    <s v="TX501165"/>
    <x v="9"/>
    <x v="0"/>
    <n v="70.2"/>
    <n v="70.2"/>
    <x v="45"/>
    <d v="2025-02-16T00:00:00"/>
    <x v="2"/>
    <x v="0"/>
    <x v="4"/>
    <x v="0"/>
    <x v="3"/>
    <x v="3"/>
    <x v="6"/>
    <x v="2"/>
  </r>
  <r>
    <s v="TX501166"/>
    <x v="3"/>
    <x v="12"/>
    <n v="71.5"/>
    <n v="286"/>
    <x v="45"/>
    <d v="2025-02-15T00:00:00"/>
    <x v="2"/>
    <x v="1"/>
    <x v="2"/>
    <x v="0"/>
    <x v="3"/>
    <x v="7"/>
    <x v="6"/>
    <x v="2"/>
  </r>
  <r>
    <s v="TX501167"/>
    <x v="10"/>
    <x v="3"/>
    <n v="31"/>
    <n v="217"/>
    <x v="45"/>
    <d v="2025-02-22T00:00:00"/>
    <x v="2"/>
    <x v="3"/>
    <x v="2"/>
    <x v="0"/>
    <x v="3"/>
    <x v="6"/>
    <x v="6"/>
    <x v="2"/>
  </r>
  <r>
    <s v="TX501168"/>
    <x v="2"/>
    <x v="9"/>
    <n v="68.2"/>
    <n v="341"/>
    <x v="45"/>
    <d v="2025-02-20T00:00:00"/>
    <x v="2"/>
    <x v="0"/>
    <x v="2"/>
    <x v="0"/>
    <x v="3"/>
    <x v="0"/>
    <x v="6"/>
    <x v="2"/>
  </r>
  <r>
    <s v="TX501169"/>
    <x v="2"/>
    <x v="0"/>
    <n v="91.4"/>
    <n v="91.4"/>
    <x v="45"/>
    <d v="2025-02-19T00:00:00"/>
    <x v="2"/>
    <x v="1"/>
    <x v="2"/>
    <x v="0"/>
    <x v="6"/>
    <x v="5"/>
    <x v="6"/>
    <x v="2"/>
  </r>
  <r>
    <s v="TX501170"/>
    <x v="6"/>
    <x v="7"/>
    <n v="112.9"/>
    <n v="1129"/>
    <x v="45"/>
    <d v="2025-02-16T00:00:00"/>
    <x v="2"/>
    <x v="0"/>
    <x v="0"/>
    <x v="0"/>
    <x v="6"/>
    <x v="3"/>
    <x v="6"/>
    <x v="2"/>
  </r>
  <r>
    <s v="TX501171"/>
    <x v="17"/>
    <x v="11"/>
    <n v="33.700000000000003"/>
    <n v="303.3"/>
    <x v="45"/>
    <d v="2025-02-16T00:00:00"/>
    <x v="2"/>
    <x v="1"/>
    <x v="2"/>
    <x v="0"/>
    <x v="8"/>
    <x v="3"/>
    <x v="6"/>
    <x v="2"/>
  </r>
  <r>
    <s v="TX501172"/>
    <x v="15"/>
    <x v="7"/>
    <n v="35.299999999999997"/>
    <n v="353"/>
    <x v="45"/>
    <d v="2025-02-17T00:00:00"/>
    <x v="1"/>
    <x v="2"/>
    <x v="0"/>
    <x v="0"/>
    <x v="8"/>
    <x v="1"/>
    <x v="6"/>
    <x v="1"/>
  </r>
  <r>
    <s v="TX501173"/>
    <x v="18"/>
    <x v="2"/>
    <n v="45.6"/>
    <n v="136.80000000000001"/>
    <x v="45"/>
    <d v="2025-02-19T00:00:00"/>
    <x v="1"/>
    <x v="3"/>
    <x v="0"/>
    <x v="0"/>
    <x v="8"/>
    <x v="5"/>
    <x v="6"/>
    <x v="1"/>
  </r>
  <r>
    <s v="TX501174"/>
    <x v="7"/>
    <x v="3"/>
    <n v="47.1"/>
    <n v="329.7"/>
    <x v="45"/>
    <d v="2025-02-16T00:00:00"/>
    <x v="2"/>
    <x v="4"/>
    <x v="2"/>
    <x v="0"/>
    <x v="9"/>
    <x v="3"/>
    <x v="6"/>
    <x v="2"/>
  </r>
  <r>
    <s v="TX501175"/>
    <x v="8"/>
    <x v="9"/>
    <n v="16.2"/>
    <n v="81"/>
    <x v="45"/>
    <d v="2025-02-17T00:00:00"/>
    <x v="2"/>
    <x v="3"/>
    <x v="2"/>
    <x v="0"/>
    <x v="19"/>
    <x v="1"/>
    <x v="6"/>
    <x v="2"/>
  </r>
  <r>
    <s v="TX501176"/>
    <x v="1"/>
    <x v="1"/>
    <n v="159.69999999999999"/>
    <n v="319.39999999999998"/>
    <x v="46"/>
    <d v="2025-02-17T00:00:00"/>
    <x v="1"/>
    <x v="4"/>
    <x v="0"/>
    <x v="0"/>
    <x v="13"/>
    <x v="3"/>
    <x v="7"/>
    <x v="1"/>
  </r>
  <r>
    <s v="TX501177"/>
    <x v="8"/>
    <x v="12"/>
    <n v="19"/>
    <n v="76"/>
    <x v="46"/>
    <d v="2025-02-23T00:00:00"/>
    <x v="2"/>
    <x v="2"/>
    <x v="2"/>
    <x v="0"/>
    <x v="21"/>
    <x v="6"/>
    <x v="7"/>
    <x v="2"/>
  </r>
  <r>
    <s v="TX501178"/>
    <x v="6"/>
    <x v="13"/>
    <n v="91.1"/>
    <n v="546.59999999999991"/>
    <x v="46"/>
    <d v="2025-02-25T00:00:00"/>
    <x v="2"/>
    <x v="4"/>
    <x v="0"/>
    <x v="0"/>
    <x v="21"/>
    <x v="8"/>
    <x v="7"/>
    <x v="2"/>
  </r>
  <r>
    <s v="TX501179"/>
    <x v="2"/>
    <x v="9"/>
    <n v="94.1"/>
    <n v="470.5"/>
    <x v="46"/>
    <d v="2025-02-19T00:00:00"/>
    <x v="0"/>
    <x v="1"/>
    <x v="1"/>
    <x v="0"/>
    <x v="21"/>
    <x v="2"/>
    <x v="7"/>
    <x v="0"/>
  </r>
  <r>
    <s v="TX501180"/>
    <x v="9"/>
    <x v="11"/>
    <n v="21.1"/>
    <n v="189.9"/>
    <x v="46"/>
    <d v="2025-02-17T00:00:00"/>
    <x v="2"/>
    <x v="4"/>
    <x v="2"/>
    <x v="0"/>
    <x v="51"/>
    <x v="3"/>
    <x v="7"/>
    <x v="2"/>
  </r>
  <r>
    <s v="TX501181"/>
    <x v="8"/>
    <x v="3"/>
    <n v="15.3"/>
    <n v="107.10000000000001"/>
    <x v="46"/>
    <d v="2025-02-24T00:00:00"/>
    <x v="2"/>
    <x v="2"/>
    <x v="0"/>
    <x v="0"/>
    <x v="1"/>
    <x v="9"/>
    <x v="7"/>
    <x v="2"/>
  </r>
  <r>
    <s v="TX501182"/>
    <x v="15"/>
    <x v="12"/>
    <n v="21.3"/>
    <n v="85.2"/>
    <x v="46"/>
    <d v="2025-02-19T00:00:00"/>
    <x v="1"/>
    <x v="1"/>
    <x v="0"/>
    <x v="0"/>
    <x v="3"/>
    <x v="2"/>
    <x v="7"/>
    <x v="1"/>
  </r>
  <r>
    <s v="TX501183"/>
    <x v="0"/>
    <x v="1"/>
    <n v="23.2"/>
    <n v="46.4"/>
    <x v="46"/>
    <d v="2025-02-16T00:00:00"/>
    <x v="0"/>
    <x v="3"/>
    <x v="1"/>
    <x v="0"/>
    <x v="3"/>
    <x v="7"/>
    <x v="7"/>
    <x v="0"/>
  </r>
  <r>
    <s v="TX501184"/>
    <x v="4"/>
    <x v="2"/>
    <n v="25.7"/>
    <n v="77.099999999999994"/>
    <x v="46"/>
    <d v="2025-02-17T00:00:00"/>
    <x v="1"/>
    <x v="4"/>
    <x v="0"/>
    <x v="0"/>
    <x v="3"/>
    <x v="3"/>
    <x v="7"/>
    <x v="1"/>
  </r>
  <r>
    <s v="TX501185"/>
    <x v="0"/>
    <x v="11"/>
    <n v="31.6"/>
    <n v="284.40000000000003"/>
    <x v="46"/>
    <d v="2025-02-18T00:00:00"/>
    <x v="2"/>
    <x v="0"/>
    <x v="0"/>
    <x v="0"/>
    <x v="3"/>
    <x v="1"/>
    <x v="7"/>
    <x v="2"/>
  </r>
  <r>
    <s v="TX501186"/>
    <x v="6"/>
    <x v="0"/>
    <n v="64.2"/>
    <n v="64.2"/>
    <x v="46"/>
    <d v="2025-02-21T00:00:00"/>
    <x v="1"/>
    <x v="0"/>
    <x v="0"/>
    <x v="0"/>
    <x v="3"/>
    <x v="0"/>
    <x v="7"/>
    <x v="1"/>
  </r>
  <r>
    <s v="TX501187"/>
    <x v="8"/>
    <x v="1"/>
    <n v="55.8"/>
    <n v="111.6"/>
    <x v="46"/>
    <d v="2025-02-18T00:00:00"/>
    <x v="0"/>
    <x v="0"/>
    <x v="0"/>
    <x v="0"/>
    <x v="3"/>
    <x v="1"/>
    <x v="7"/>
    <x v="0"/>
  </r>
  <r>
    <s v="TX501188"/>
    <x v="8"/>
    <x v="1"/>
    <n v="28.1"/>
    <n v="56.2"/>
    <x v="46"/>
    <d v="2025-02-17T00:00:00"/>
    <x v="2"/>
    <x v="4"/>
    <x v="1"/>
    <x v="0"/>
    <x v="3"/>
    <x v="3"/>
    <x v="7"/>
    <x v="2"/>
  </r>
  <r>
    <s v="TX501189"/>
    <x v="0"/>
    <x v="1"/>
    <n v="11.6"/>
    <n v="23.2"/>
    <x v="46"/>
    <d v="2025-02-18T00:00:00"/>
    <x v="2"/>
    <x v="1"/>
    <x v="0"/>
    <x v="0"/>
    <x v="24"/>
    <x v="1"/>
    <x v="7"/>
    <x v="2"/>
  </r>
  <r>
    <s v="TX501190"/>
    <x v="5"/>
    <x v="2"/>
    <n v="50.4"/>
    <n v="151.19999999999999"/>
    <x v="46"/>
    <d v="2025-02-17T00:00:00"/>
    <x v="1"/>
    <x v="4"/>
    <x v="2"/>
    <x v="0"/>
    <x v="25"/>
    <x v="3"/>
    <x v="7"/>
    <x v="1"/>
  </r>
  <r>
    <s v="TX501191"/>
    <x v="6"/>
    <x v="13"/>
    <n v="48.3"/>
    <n v="289.79999999999995"/>
    <x v="46"/>
    <d v="2025-02-20T00:00:00"/>
    <x v="2"/>
    <x v="0"/>
    <x v="0"/>
    <x v="0"/>
    <x v="25"/>
    <x v="5"/>
    <x v="7"/>
    <x v="2"/>
  </r>
  <r>
    <s v="TX501192"/>
    <x v="17"/>
    <x v="3"/>
    <n v="32.200000000000003"/>
    <n v="225.40000000000003"/>
    <x v="46"/>
    <d v="2025-02-18T00:00:00"/>
    <x v="2"/>
    <x v="2"/>
    <x v="0"/>
    <x v="0"/>
    <x v="25"/>
    <x v="1"/>
    <x v="7"/>
    <x v="2"/>
  </r>
  <r>
    <s v="TX501193"/>
    <x v="7"/>
    <x v="31"/>
    <n v="48.5"/>
    <n v="1358"/>
    <x v="46"/>
    <d v="2025-02-17T00:00:00"/>
    <x v="1"/>
    <x v="0"/>
    <x v="0"/>
    <x v="0"/>
    <x v="5"/>
    <x v="3"/>
    <x v="7"/>
    <x v="1"/>
  </r>
  <r>
    <s v="TX501194"/>
    <x v="2"/>
    <x v="9"/>
    <n v="62"/>
    <n v="310"/>
    <x v="46"/>
    <d v="2025-02-19T00:00:00"/>
    <x v="2"/>
    <x v="1"/>
    <x v="0"/>
    <x v="0"/>
    <x v="6"/>
    <x v="2"/>
    <x v="7"/>
    <x v="2"/>
  </r>
  <r>
    <s v="TX501195"/>
    <x v="8"/>
    <x v="2"/>
    <n v="32.1"/>
    <n v="96.300000000000011"/>
    <x v="47"/>
    <d v="2025-02-19T00:00:00"/>
    <x v="1"/>
    <x v="0"/>
    <x v="0"/>
    <x v="0"/>
    <x v="6"/>
    <x v="1"/>
    <x v="7"/>
    <x v="1"/>
  </r>
  <r>
    <s v="TX501196"/>
    <x v="12"/>
    <x v="2"/>
    <n v="106.1"/>
    <n v="318.29999999999995"/>
    <x v="47"/>
    <d v="2025-02-19T00:00:00"/>
    <x v="1"/>
    <x v="0"/>
    <x v="1"/>
    <x v="0"/>
    <x v="7"/>
    <x v="1"/>
    <x v="7"/>
    <x v="1"/>
  </r>
  <r>
    <s v="TX501197"/>
    <x v="10"/>
    <x v="2"/>
    <n v="23.5"/>
    <n v="70.5"/>
    <x v="47"/>
    <d v="2025-02-20T00:00:00"/>
    <x v="1"/>
    <x v="0"/>
    <x v="4"/>
    <x v="0"/>
    <x v="7"/>
    <x v="2"/>
    <x v="7"/>
    <x v="1"/>
  </r>
  <r>
    <s v="TX501198"/>
    <x v="1"/>
    <x v="1"/>
    <n v="35.6"/>
    <n v="71.2"/>
    <x v="47"/>
    <d v="2025-02-22T00:00:00"/>
    <x v="1"/>
    <x v="4"/>
    <x v="0"/>
    <x v="0"/>
    <x v="8"/>
    <x v="0"/>
    <x v="7"/>
    <x v="1"/>
  </r>
  <r>
    <s v="TX501199"/>
    <x v="1"/>
    <x v="1"/>
    <n v="63.5"/>
    <n v="127"/>
    <x v="47"/>
    <d v="2025-02-17T00:00:00"/>
    <x v="2"/>
    <x v="1"/>
    <x v="2"/>
    <x v="0"/>
    <x v="8"/>
    <x v="7"/>
    <x v="7"/>
    <x v="2"/>
  </r>
  <r>
    <s v="TX501200"/>
    <x v="6"/>
    <x v="3"/>
    <n v="82.9"/>
    <n v="580.30000000000007"/>
    <x v="47"/>
    <d v="2025-02-22T00:00:00"/>
    <x v="2"/>
    <x v="4"/>
    <x v="0"/>
    <x v="0"/>
    <x v="9"/>
    <x v="0"/>
    <x v="7"/>
    <x v="2"/>
  </r>
  <r>
    <s v="TX501201"/>
    <x v="6"/>
    <x v="1"/>
    <n v="83.6"/>
    <n v="167.2"/>
    <x v="47"/>
    <d v="2025-02-22T00:00:00"/>
    <x v="2"/>
    <x v="0"/>
    <x v="0"/>
    <x v="0"/>
    <x v="11"/>
    <x v="0"/>
    <x v="7"/>
    <x v="2"/>
  </r>
  <r>
    <s v="TX501202"/>
    <x v="4"/>
    <x v="1"/>
    <n v="29.4"/>
    <n v="58.8"/>
    <x v="47"/>
    <d v="2025-02-17T00:00:00"/>
    <x v="2"/>
    <x v="0"/>
    <x v="1"/>
    <x v="0"/>
    <x v="30"/>
    <x v="7"/>
    <x v="7"/>
    <x v="2"/>
  </r>
  <r>
    <s v="TX501203"/>
    <x v="2"/>
    <x v="2"/>
    <n v="107.1"/>
    <n v="321.29999999999995"/>
    <x v="47"/>
    <d v="2025-02-21T00:00:00"/>
    <x v="2"/>
    <x v="2"/>
    <x v="0"/>
    <x v="0"/>
    <x v="20"/>
    <x v="5"/>
    <x v="7"/>
    <x v="2"/>
  </r>
  <r>
    <s v="TX501204"/>
    <x v="2"/>
    <x v="0"/>
    <n v="62.7"/>
    <n v="62.7"/>
    <x v="47"/>
    <d v="2025-02-21T00:00:00"/>
    <x v="1"/>
    <x v="1"/>
    <x v="0"/>
    <x v="0"/>
    <x v="21"/>
    <x v="5"/>
    <x v="7"/>
    <x v="1"/>
  </r>
  <r>
    <s v="TX501205"/>
    <x v="11"/>
    <x v="0"/>
    <n v="41.6"/>
    <n v="41.6"/>
    <x v="47"/>
    <d v="2025-02-18T00:00:00"/>
    <x v="1"/>
    <x v="0"/>
    <x v="1"/>
    <x v="0"/>
    <x v="1"/>
    <x v="3"/>
    <x v="7"/>
    <x v="1"/>
  </r>
  <r>
    <s v="TX501206"/>
    <x v="6"/>
    <x v="0"/>
    <n v="44.2"/>
    <n v="44.2"/>
    <x v="47"/>
    <d v="2025-02-18T00:00:00"/>
    <x v="3"/>
    <x v="0"/>
    <x v="1"/>
    <x v="0"/>
    <x v="1"/>
    <x v="3"/>
    <x v="7"/>
    <x v="3"/>
  </r>
  <r>
    <s v="TX501207"/>
    <x v="4"/>
    <x v="13"/>
    <n v="40.4"/>
    <n v="242.39999999999998"/>
    <x v="47"/>
    <d v="2025-03-02T00:00:00"/>
    <x v="2"/>
    <x v="2"/>
    <x v="0"/>
    <x v="0"/>
    <x v="22"/>
    <x v="10"/>
    <x v="7"/>
    <x v="2"/>
  </r>
  <r>
    <s v="TX501208"/>
    <x v="15"/>
    <x v="13"/>
    <n v="59.6"/>
    <n v="357.6"/>
    <x v="47"/>
    <d v="2025-02-18T00:00:00"/>
    <x v="2"/>
    <x v="4"/>
    <x v="0"/>
    <x v="0"/>
    <x v="34"/>
    <x v="3"/>
    <x v="7"/>
    <x v="2"/>
  </r>
  <r>
    <s v="TX501209"/>
    <x v="17"/>
    <x v="4"/>
    <n v="63.8"/>
    <n v="765.59999999999991"/>
    <x v="47"/>
    <d v="2025-02-18T00:00:00"/>
    <x v="1"/>
    <x v="1"/>
    <x v="0"/>
    <x v="0"/>
    <x v="3"/>
    <x v="3"/>
    <x v="7"/>
    <x v="1"/>
  </r>
  <r>
    <s v="TX501210"/>
    <x v="9"/>
    <x v="13"/>
    <n v="30.8"/>
    <n v="184.8"/>
    <x v="47"/>
    <d v="2025-02-19T00:00:00"/>
    <x v="1"/>
    <x v="4"/>
    <x v="0"/>
    <x v="0"/>
    <x v="3"/>
    <x v="1"/>
    <x v="7"/>
    <x v="1"/>
  </r>
  <r>
    <s v="TX501211"/>
    <x v="1"/>
    <x v="1"/>
    <n v="41.5"/>
    <n v="83"/>
    <x v="47"/>
    <d v="2025-02-20T00:00:00"/>
    <x v="3"/>
    <x v="0"/>
    <x v="0"/>
    <x v="0"/>
    <x v="3"/>
    <x v="2"/>
    <x v="7"/>
    <x v="3"/>
  </r>
  <r>
    <s v="TX501212"/>
    <x v="10"/>
    <x v="12"/>
    <n v="44.7"/>
    <n v="178.8"/>
    <x v="47"/>
    <d v="2025-02-19T00:00:00"/>
    <x v="2"/>
    <x v="2"/>
    <x v="1"/>
    <x v="0"/>
    <x v="3"/>
    <x v="1"/>
    <x v="7"/>
    <x v="2"/>
  </r>
  <r>
    <s v="TX501213"/>
    <x v="12"/>
    <x v="1"/>
    <n v="64.099999999999994"/>
    <n v="128.19999999999999"/>
    <x v="47"/>
    <d v="2025-02-21T00:00:00"/>
    <x v="2"/>
    <x v="1"/>
    <x v="4"/>
    <x v="0"/>
    <x v="3"/>
    <x v="5"/>
    <x v="7"/>
    <x v="2"/>
  </r>
  <r>
    <s v="TX501214"/>
    <x v="8"/>
    <x v="0"/>
    <n v="15.9"/>
    <n v="15.9"/>
    <x v="47"/>
    <d v="2025-02-20T00:00:00"/>
    <x v="0"/>
    <x v="1"/>
    <x v="0"/>
    <x v="0"/>
    <x v="3"/>
    <x v="2"/>
    <x v="7"/>
    <x v="0"/>
  </r>
  <r>
    <s v="TX501215"/>
    <x v="6"/>
    <x v="1"/>
    <n v="78.7"/>
    <n v="157.4"/>
    <x v="47"/>
    <d v="2025-02-17T00:00:00"/>
    <x v="2"/>
    <x v="2"/>
    <x v="1"/>
    <x v="0"/>
    <x v="3"/>
    <x v="7"/>
    <x v="7"/>
    <x v="2"/>
  </r>
  <r>
    <s v="TX501216"/>
    <x v="5"/>
    <x v="4"/>
    <n v="29.6"/>
    <n v="355.20000000000005"/>
    <x v="47"/>
    <d v="2025-02-21T00:00:00"/>
    <x v="1"/>
    <x v="2"/>
    <x v="4"/>
    <x v="0"/>
    <x v="3"/>
    <x v="5"/>
    <x v="7"/>
    <x v="1"/>
  </r>
  <r>
    <s v="TX501217"/>
    <x v="8"/>
    <x v="12"/>
    <n v="21.5"/>
    <n v="86"/>
    <x v="47"/>
    <d v="2025-02-20T00:00:00"/>
    <x v="1"/>
    <x v="1"/>
    <x v="0"/>
    <x v="0"/>
    <x v="3"/>
    <x v="2"/>
    <x v="7"/>
    <x v="1"/>
  </r>
  <r>
    <s v="TX501218"/>
    <x v="9"/>
    <x v="2"/>
    <n v="74.900000000000006"/>
    <n v="224.70000000000002"/>
    <x v="47"/>
    <d v="2025-02-26T00:00:00"/>
    <x v="1"/>
    <x v="3"/>
    <x v="1"/>
    <x v="0"/>
    <x v="3"/>
    <x v="8"/>
    <x v="7"/>
    <x v="1"/>
  </r>
  <r>
    <s v="TX501219"/>
    <x v="10"/>
    <x v="13"/>
    <n v="45"/>
    <n v="270"/>
    <x v="47"/>
    <d v="2025-02-22T00:00:00"/>
    <x v="2"/>
    <x v="2"/>
    <x v="0"/>
    <x v="0"/>
    <x v="3"/>
    <x v="0"/>
    <x v="7"/>
    <x v="2"/>
  </r>
  <r>
    <s v="TX501220"/>
    <x v="7"/>
    <x v="33"/>
    <n v="37.9"/>
    <n v="1288.5999999999999"/>
    <x v="47"/>
    <d v="2025-02-18T00:00:00"/>
    <x v="1"/>
    <x v="0"/>
    <x v="0"/>
    <x v="0"/>
    <x v="3"/>
    <x v="3"/>
    <x v="7"/>
    <x v="1"/>
  </r>
  <r>
    <s v="TX501221"/>
    <x v="6"/>
    <x v="2"/>
    <n v="56.6"/>
    <n v="169.8"/>
    <x v="47"/>
    <d v="2025-02-18T00:00:00"/>
    <x v="1"/>
    <x v="3"/>
    <x v="0"/>
    <x v="0"/>
    <x v="3"/>
    <x v="3"/>
    <x v="7"/>
    <x v="1"/>
  </r>
  <r>
    <s v="TX501222"/>
    <x v="3"/>
    <x v="15"/>
    <n v="84.5"/>
    <n v="1098.5"/>
    <x v="47"/>
    <d v="2025-02-20T00:00:00"/>
    <x v="2"/>
    <x v="1"/>
    <x v="4"/>
    <x v="0"/>
    <x v="3"/>
    <x v="2"/>
    <x v="7"/>
    <x v="2"/>
  </r>
  <r>
    <s v="TX501223"/>
    <x v="2"/>
    <x v="9"/>
    <n v="105.4"/>
    <n v="527"/>
    <x v="47"/>
    <d v="2025-02-19T00:00:00"/>
    <x v="2"/>
    <x v="1"/>
    <x v="1"/>
    <x v="0"/>
    <x v="3"/>
    <x v="1"/>
    <x v="7"/>
    <x v="2"/>
  </r>
  <r>
    <s v="TX501224"/>
    <x v="18"/>
    <x v="3"/>
    <n v="39.4"/>
    <n v="275.8"/>
    <x v="48"/>
    <d v="2025-02-18T00:00:00"/>
    <x v="1"/>
    <x v="1"/>
    <x v="0"/>
    <x v="0"/>
    <x v="37"/>
    <x v="7"/>
    <x v="7"/>
    <x v="1"/>
  </r>
  <r>
    <s v="TX501225"/>
    <x v="19"/>
    <x v="2"/>
    <n v="38"/>
    <n v="114"/>
    <x v="48"/>
    <d v="2025-02-21T00:00:00"/>
    <x v="1"/>
    <x v="4"/>
    <x v="1"/>
    <x v="0"/>
    <x v="6"/>
    <x v="2"/>
    <x v="7"/>
    <x v="1"/>
  </r>
  <r>
    <s v="TX501226"/>
    <x v="17"/>
    <x v="12"/>
    <n v="42.5"/>
    <n v="170"/>
    <x v="48"/>
    <d v="2025-02-20T00:00:00"/>
    <x v="0"/>
    <x v="0"/>
    <x v="0"/>
    <x v="0"/>
    <x v="6"/>
    <x v="1"/>
    <x v="7"/>
    <x v="0"/>
  </r>
  <r>
    <s v="TX501227"/>
    <x v="15"/>
    <x v="0"/>
    <n v="62.3"/>
    <n v="62.3"/>
    <x v="48"/>
    <d v="2025-02-27T00:00:00"/>
    <x v="1"/>
    <x v="0"/>
    <x v="2"/>
    <x v="0"/>
    <x v="6"/>
    <x v="8"/>
    <x v="7"/>
    <x v="1"/>
  </r>
  <r>
    <s v="TX501228"/>
    <x v="6"/>
    <x v="9"/>
    <n v="49.1"/>
    <n v="245.5"/>
    <x v="48"/>
    <d v="2025-02-20T00:00:00"/>
    <x v="2"/>
    <x v="1"/>
    <x v="2"/>
    <x v="0"/>
    <x v="7"/>
    <x v="1"/>
    <x v="7"/>
    <x v="2"/>
  </r>
  <r>
    <s v="TX501229"/>
    <x v="3"/>
    <x v="1"/>
    <n v="30.5"/>
    <n v="61"/>
    <x v="48"/>
    <d v="2025-02-21T00:00:00"/>
    <x v="1"/>
    <x v="0"/>
    <x v="2"/>
    <x v="0"/>
    <x v="8"/>
    <x v="2"/>
    <x v="7"/>
    <x v="1"/>
  </r>
  <r>
    <s v="TX501230"/>
    <x v="2"/>
    <x v="1"/>
    <n v="154.80000000000001"/>
    <n v="309.60000000000002"/>
    <x v="48"/>
    <d v="2025-02-21T00:00:00"/>
    <x v="2"/>
    <x v="1"/>
    <x v="4"/>
    <x v="0"/>
    <x v="8"/>
    <x v="2"/>
    <x v="7"/>
    <x v="2"/>
  </r>
  <r>
    <s v="TX501231"/>
    <x v="6"/>
    <x v="0"/>
    <n v="45"/>
    <n v="45"/>
    <x v="48"/>
    <d v="2025-02-22T00:00:00"/>
    <x v="1"/>
    <x v="3"/>
    <x v="1"/>
    <x v="0"/>
    <x v="8"/>
    <x v="5"/>
    <x v="7"/>
    <x v="1"/>
  </r>
  <r>
    <s v="TX501232"/>
    <x v="0"/>
    <x v="3"/>
    <n v="15.3"/>
    <n v="107.10000000000001"/>
    <x v="48"/>
    <d v="2025-02-19T00:00:00"/>
    <x v="1"/>
    <x v="0"/>
    <x v="2"/>
    <x v="0"/>
    <x v="8"/>
    <x v="3"/>
    <x v="7"/>
    <x v="1"/>
  </r>
  <r>
    <s v="TX501233"/>
    <x v="2"/>
    <x v="5"/>
    <n v="88.6"/>
    <n v="974.59999999999991"/>
    <x v="48"/>
    <d v="2025-02-21T00:00:00"/>
    <x v="2"/>
    <x v="0"/>
    <x v="4"/>
    <x v="0"/>
    <x v="17"/>
    <x v="2"/>
    <x v="7"/>
    <x v="2"/>
  </r>
  <r>
    <s v="TX501234"/>
    <x v="9"/>
    <x v="1"/>
    <n v="49.7"/>
    <n v="99.4"/>
    <x v="48"/>
    <d v="2025-02-20T00:00:00"/>
    <x v="3"/>
    <x v="4"/>
    <x v="0"/>
    <x v="0"/>
    <x v="10"/>
    <x v="1"/>
    <x v="7"/>
    <x v="3"/>
  </r>
  <r>
    <s v="TX501235"/>
    <x v="10"/>
    <x v="0"/>
    <n v="29"/>
    <n v="29"/>
    <x v="48"/>
    <d v="2025-02-19T00:00:00"/>
    <x v="1"/>
    <x v="0"/>
    <x v="0"/>
    <x v="0"/>
    <x v="11"/>
    <x v="3"/>
    <x v="7"/>
    <x v="1"/>
  </r>
  <r>
    <s v="TX501236"/>
    <x v="1"/>
    <x v="0"/>
    <n v="60.7"/>
    <n v="60.7"/>
    <x v="48"/>
    <d v="2025-02-19T00:00:00"/>
    <x v="3"/>
    <x v="0"/>
    <x v="1"/>
    <x v="0"/>
    <x v="11"/>
    <x v="3"/>
    <x v="7"/>
    <x v="3"/>
  </r>
  <r>
    <s v="TX501237"/>
    <x v="17"/>
    <x v="12"/>
    <n v="87.4"/>
    <n v="349.6"/>
    <x v="48"/>
    <d v="2025-02-20T00:00:00"/>
    <x v="0"/>
    <x v="0"/>
    <x v="0"/>
    <x v="0"/>
    <x v="11"/>
    <x v="1"/>
    <x v="7"/>
    <x v="0"/>
  </r>
  <r>
    <s v="TX501238"/>
    <x v="4"/>
    <x v="3"/>
    <n v="44.5"/>
    <n v="311.5"/>
    <x v="48"/>
    <d v="2025-02-22T00:00:00"/>
    <x v="2"/>
    <x v="2"/>
    <x v="2"/>
    <x v="0"/>
    <x v="19"/>
    <x v="5"/>
    <x v="7"/>
    <x v="2"/>
  </r>
  <r>
    <s v="TX501239"/>
    <x v="2"/>
    <x v="0"/>
    <n v="141"/>
    <n v="141"/>
    <x v="48"/>
    <d v="2025-02-19T00:00:00"/>
    <x v="1"/>
    <x v="4"/>
    <x v="2"/>
    <x v="0"/>
    <x v="19"/>
    <x v="3"/>
    <x v="7"/>
    <x v="1"/>
  </r>
  <r>
    <s v="TX501240"/>
    <x v="0"/>
    <x v="2"/>
    <n v="16.7"/>
    <n v="50.099999999999994"/>
    <x v="48"/>
    <d v="2025-02-26T00:00:00"/>
    <x v="2"/>
    <x v="0"/>
    <x v="0"/>
    <x v="0"/>
    <x v="20"/>
    <x v="9"/>
    <x v="7"/>
    <x v="2"/>
  </r>
  <r>
    <s v="TX501241"/>
    <x v="1"/>
    <x v="1"/>
    <n v="77.5"/>
    <n v="155"/>
    <x v="48"/>
    <d v="2025-02-19T00:00:00"/>
    <x v="0"/>
    <x v="2"/>
    <x v="2"/>
    <x v="0"/>
    <x v="13"/>
    <x v="3"/>
    <x v="7"/>
    <x v="0"/>
  </r>
  <r>
    <s v="TX501242"/>
    <x v="2"/>
    <x v="1"/>
    <n v="163"/>
    <n v="326"/>
    <x v="48"/>
    <d v="2025-02-24T00:00:00"/>
    <x v="2"/>
    <x v="4"/>
    <x v="0"/>
    <x v="0"/>
    <x v="21"/>
    <x v="4"/>
    <x v="7"/>
    <x v="2"/>
  </r>
  <r>
    <s v="TX501243"/>
    <x v="4"/>
    <x v="11"/>
    <n v="21.4"/>
    <n v="192.6"/>
    <x v="48"/>
    <d v="2025-02-21T00:00:00"/>
    <x v="2"/>
    <x v="0"/>
    <x v="0"/>
    <x v="0"/>
    <x v="51"/>
    <x v="2"/>
    <x v="7"/>
    <x v="2"/>
  </r>
  <r>
    <s v="TX501244"/>
    <x v="10"/>
    <x v="5"/>
    <n v="31"/>
    <n v="341"/>
    <x v="48"/>
    <d v="2025-02-20T00:00:00"/>
    <x v="2"/>
    <x v="3"/>
    <x v="2"/>
    <x v="0"/>
    <x v="1"/>
    <x v="1"/>
    <x v="7"/>
    <x v="2"/>
  </r>
  <r>
    <s v="TX501245"/>
    <x v="7"/>
    <x v="1"/>
    <n v="34.299999999999997"/>
    <n v="68.599999999999994"/>
    <x v="48"/>
    <d v="2025-02-20T00:00:00"/>
    <x v="2"/>
    <x v="0"/>
    <x v="3"/>
    <x v="0"/>
    <x v="1"/>
    <x v="1"/>
    <x v="7"/>
    <x v="2"/>
  </r>
  <r>
    <s v="TX501246"/>
    <x v="17"/>
    <x v="9"/>
    <n v="48.2"/>
    <n v="241"/>
    <x v="48"/>
    <d v="2025-02-19T00:00:00"/>
    <x v="1"/>
    <x v="1"/>
    <x v="1"/>
    <x v="0"/>
    <x v="2"/>
    <x v="3"/>
    <x v="7"/>
    <x v="1"/>
  </r>
  <r>
    <s v="TX501247"/>
    <x v="10"/>
    <x v="0"/>
    <n v="51.4"/>
    <n v="51.4"/>
    <x v="48"/>
    <d v="2025-02-19T00:00:00"/>
    <x v="1"/>
    <x v="0"/>
    <x v="0"/>
    <x v="0"/>
    <x v="3"/>
    <x v="3"/>
    <x v="7"/>
    <x v="1"/>
  </r>
  <r>
    <s v="TX501248"/>
    <x v="2"/>
    <x v="9"/>
    <n v="117.2"/>
    <n v="586"/>
    <x v="48"/>
    <d v="2025-02-21T00:00:00"/>
    <x v="2"/>
    <x v="4"/>
    <x v="4"/>
    <x v="0"/>
    <x v="3"/>
    <x v="2"/>
    <x v="7"/>
    <x v="2"/>
  </r>
  <r>
    <s v="TX501249"/>
    <x v="8"/>
    <x v="0"/>
    <n v="38.1"/>
    <n v="38.1"/>
    <x v="48"/>
    <d v="2025-02-18T00:00:00"/>
    <x v="1"/>
    <x v="4"/>
    <x v="1"/>
    <x v="0"/>
    <x v="3"/>
    <x v="7"/>
    <x v="7"/>
    <x v="1"/>
  </r>
  <r>
    <s v="TX501250"/>
    <x v="0"/>
    <x v="1"/>
    <n v="44.1"/>
    <n v="88.2"/>
    <x v="48"/>
    <d v="2025-02-20T00:00:00"/>
    <x v="2"/>
    <x v="2"/>
    <x v="0"/>
    <x v="0"/>
    <x v="3"/>
    <x v="1"/>
    <x v="7"/>
    <x v="2"/>
  </r>
  <r>
    <s v="TX501251"/>
    <x v="15"/>
    <x v="12"/>
    <n v="80.5"/>
    <n v="322"/>
    <x v="48"/>
    <d v="2025-02-23T00:00:00"/>
    <x v="1"/>
    <x v="0"/>
    <x v="0"/>
    <x v="0"/>
    <x v="3"/>
    <x v="0"/>
    <x v="7"/>
    <x v="1"/>
  </r>
  <r>
    <s v="TX501252"/>
    <x v="18"/>
    <x v="12"/>
    <n v="33.6"/>
    <n v="134.4"/>
    <x v="48"/>
    <d v="2025-02-23T00:00:00"/>
    <x v="0"/>
    <x v="0"/>
    <x v="2"/>
    <x v="0"/>
    <x v="3"/>
    <x v="0"/>
    <x v="7"/>
    <x v="0"/>
  </r>
  <r>
    <s v="TX501253"/>
    <x v="9"/>
    <x v="11"/>
    <n v="41.8"/>
    <n v="376.2"/>
    <x v="48"/>
    <d v="2025-02-19T00:00:00"/>
    <x v="2"/>
    <x v="0"/>
    <x v="1"/>
    <x v="0"/>
    <x v="3"/>
    <x v="3"/>
    <x v="7"/>
    <x v="2"/>
  </r>
  <r>
    <s v="TX501254"/>
    <x v="1"/>
    <x v="1"/>
    <n v="106.2"/>
    <n v="212.4"/>
    <x v="48"/>
    <d v="2025-02-18T00:00:00"/>
    <x v="2"/>
    <x v="4"/>
    <x v="2"/>
    <x v="0"/>
    <x v="3"/>
    <x v="7"/>
    <x v="7"/>
    <x v="2"/>
  </r>
  <r>
    <s v="TX501255"/>
    <x v="1"/>
    <x v="1"/>
    <n v="52.6"/>
    <n v="105.2"/>
    <x v="48"/>
    <d v="2025-02-19T00:00:00"/>
    <x v="2"/>
    <x v="0"/>
    <x v="2"/>
    <x v="0"/>
    <x v="5"/>
    <x v="3"/>
    <x v="7"/>
    <x v="2"/>
  </r>
  <r>
    <s v="TX501256"/>
    <x v="11"/>
    <x v="3"/>
    <n v="68.5"/>
    <n v="479.5"/>
    <x v="48"/>
    <d v="2025-02-19T00:00:00"/>
    <x v="2"/>
    <x v="1"/>
    <x v="0"/>
    <x v="0"/>
    <x v="5"/>
    <x v="3"/>
    <x v="7"/>
    <x v="2"/>
  </r>
  <r>
    <s v="TX501257"/>
    <x v="1"/>
    <x v="1"/>
    <n v="55.6"/>
    <n v="111.2"/>
    <x v="48"/>
    <d v="2025-02-20T00:00:00"/>
    <x v="1"/>
    <x v="1"/>
    <x v="2"/>
    <x v="0"/>
    <x v="6"/>
    <x v="1"/>
    <x v="7"/>
    <x v="1"/>
  </r>
  <r>
    <s v="TX501258"/>
    <x v="2"/>
    <x v="2"/>
    <n v="134.9"/>
    <n v="404.70000000000005"/>
    <x v="48"/>
    <d v="2025-02-19T00:00:00"/>
    <x v="1"/>
    <x v="1"/>
    <x v="1"/>
    <x v="0"/>
    <x v="6"/>
    <x v="3"/>
    <x v="7"/>
    <x v="1"/>
  </r>
  <r>
    <s v="TX501259"/>
    <x v="10"/>
    <x v="9"/>
    <n v="42.6"/>
    <n v="213"/>
    <x v="48"/>
    <d v="2025-02-19T00:00:00"/>
    <x v="1"/>
    <x v="0"/>
    <x v="0"/>
    <x v="0"/>
    <x v="6"/>
    <x v="3"/>
    <x v="7"/>
    <x v="1"/>
  </r>
  <r>
    <s v="TX501260"/>
    <x v="7"/>
    <x v="9"/>
    <n v="60.6"/>
    <n v="303"/>
    <x v="48"/>
    <d v="2025-02-20T00:00:00"/>
    <x v="1"/>
    <x v="4"/>
    <x v="0"/>
    <x v="0"/>
    <x v="6"/>
    <x v="1"/>
    <x v="7"/>
    <x v="1"/>
  </r>
  <r>
    <s v="TX501261"/>
    <x v="8"/>
    <x v="1"/>
    <n v="43.5"/>
    <n v="87"/>
    <x v="48"/>
    <d v="2025-02-19T00:00:00"/>
    <x v="1"/>
    <x v="4"/>
    <x v="0"/>
    <x v="0"/>
    <x v="7"/>
    <x v="3"/>
    <x v="7"/>
    <x v="1"/>
  </r>
  <r>
    <s v="TX501262"/>
    <x v="2"/>
    <x v="1"/>
    <n v="187.1"/>
    <n v="374.2"/>
    <x v="48"/>
    <d v="2025-02-19T00:00:00"/>
    <x v="1"/>
    <x v="1"/>
    <x v="2"/>
    <x v="0"/>
    <x v="8"/>
    <x v="3"/>
    <x v="7"/>
    <x v="1"/>
  </r>
  <r>
    <s v="TX501263"/>
    <x v="9"/>
    <x v="2"/>
    <n v="32"/>
    <n v="96"/>
    <x v="48"/>
    <d v="2025-02-20T00:00:00"/>
    <x v="1"/>
    <x v="0"/>
    <x v="0"/>
    <x v="0"/>
    <x v="8"/>
    <x v="1"/>
    <x v="7"/>
    <x v="1"/>
  </r>
  <r>
    <s v="TX501264"/>
    <x v="9"/>
    <x v="1"/>
    <n v="110.8"/>
    <n v="221.6"/>
    <x v="48"/>
    <d v="2025-02-18T00:00:00"/>
    <x v="1"/>
    <x v="0"/>
    <x v="2"/>
    <x v="0"/>
    <x v="8"/>
    <x v="7"/>
    <x v="7"/>
    <x v="1"/>
  </r>
  <r>
    <s v="TX501265"/>
    <x v="10"/>
    <x v="15"/>
    <n v="36.1"/>
    <n v="469.3"/>
    <x v="48"/>
    <d v="2025-02-21T00:00:00"/>
    <x v="2"/>
    <x v="0"/>
    <x v="1"/>
    <x v="0"/>
    <x v="8"/>
    <x v="2"/>
    <x v="7"/>
    <x v="2"/>
  </r>
  <r>
    <s v="TX501266"/>
    <x v="0"/>
    <x v="0"/>
    <n v="24.1"/>
    <n v="24.1"/>
    <x v="48"/>
    <d v="2025-02-20T00:00:00"/>
    <x v="2"/>
    <x v="4"/>
    <x v="2"/>
    <x v="0"/>
    <x v="8"/>
    <x v="1"/>
    <x v="7"/>
    <x v="2"/>
  </r>
  <r>
    <s v="TX501267"/>
    <x v="19"/>
    <x v="2"/>
    <n v="30.5"/>
    <n v="91.5"/>
    <x v="48"/>
    <d v="2025-02-20T00:00:00"/>
    <x v="1"/>
    <x v="1"/>
    <x v="0"/>
    <x v="0"/>
    <x v="8"/>
    <x v="1"/>
    <x v="7"/>
    <x v="1"/>
  </r>
  <r>
    <s v="TX501268"/>
    <x v="18"/>
    <x v="13"/>
    <n v="68.3"/>
    <n v="409.79999999999995"/>
    <x v="48"/>
    <d v="2025-02-21T00:00:00"/>
    <x v="1"/>
    <x v="0"/>
    <x v="0"/>
    <x v="0"/>
    <x v="8"/>
    <x v="2"/>
    <x v="7"/>
    <x v="1"/>
  </r>
  <r>
    <s v="TX501269"/>
    <x v="7"/>
    <x v="2"/>
    <n v="43.3"/>
    <n v="129.89999999999998"/>
    <x v="48"/>
    <d v="2025-02-22T00:00:00"/>
    <x v="2"/>
    <x v="0"/>
    <x v="0"/>
    <x v="0"/>
    <x v="17"/>
    <x v="5"/>
    <x v="7"/>
    <x v="2"/>
  </r>
  <r>
    <s v="TX501270"/>
    <x v="3"/>
    <x v="0"/>
    <n v="101.7"/>
    <n v="101.7"/>
    <x v="48"/>
    <d v="2025-02-21T00:00:00"/>
    <x v="2"/>
    <x v="0"/>
    <x v="1"/>
    <x v="0"/>
    <x v="17"/>
    <x v="2"/>
    <x v="7"/>
    <x v="2"/>
  </r>
  <r>
    <s v="TX501271"/>
    <x v="11"/>
    <x v="1"/>
    <n v="54.2"/>
    <n v="108.4"/>
    <x v="48"/>
    <d v="2025-02-19T00:00:00"/>
    <x v="2"/>
    <x v="0"/>
    <x v="1"/>
    <x v="0"/>
    <x v="17"/>
    <x v="3"/>
    <x v="7"/>
    <x v="2"/>
  </r>
  <r>
    <s v="TX501272"/>
    <x v="16"/>
    <x v="1"/>
    <n v="51"/>
    <n v="102"/>
    <x v="48"/>
    <d v="2025-02-18T00:00:00"/>
    <x v="1"/>
    <x v="1"/>
    <x v="0"/>
    <x v="0"/>
    <x v="26"/>
    <x v="7"/>
    <x v="7"/>
    <x v="1"/>
  </r>
  <r>
    <s v="TX501273"/>
    <x v="4"/>
    <x v="1"/>
    <n v="23.1"/>
    <n v="46.2"/>
    <x v="48"/>
    <d v="2025-02-21T00:00:00"/>
    <x v="1"/>
    <x v="1"/>
    <x v="0"/>
    <x v="0"/>
    <x v="10"/>
    <x v="2"/>
    <x v="7"/>
    <x v="1"/>
  </r>
  <r>
    <s v="TX501274"/>
    <x v="12"/>
    <x v="13"/>
    <n v="60.1"/>
    <n v="360.6"/>
    <x v="48"/>
    <d v="2025-02-18T00:00:00"/>
    <x v="2"/>
    <x v="3"/>
    <x v="0"/>
    <x v="0"/>
    <x v="11"/>
    <x v="7"/>
    <x v="7"/>
    <x v="2"/>
  </r>
  <r>
    <s v="TX501275"/>
    <x v="2"/>
    <x v="3"/>
    <n v="87.5"/>
    <n v="612.5"/>
    <x v="48"/>
    <d v="2025-02-20T00:00:00"/>
    <x v="2"/>
    <x v="0"/>
    <x v="1"/>
    <x v="0"/>
    <x v="11"/>
    <x v="1"/>
    <x v="7"/>
    <x v="2"/>
  </r>
  <r>
    <s v="TX501276"/>
    <x v="1"/>
    <x v="2"/>
    <n v="51"/>
    <n v="153"/>
    <x v="48"/>
    <d v="2025-02-19T00:00:00"/>
    <x v="2"/>
    <x v="1"/>
    <x v="0"/>
    <x v="0"/>
    <x v="11"/>
    <x v="3"/>
    <x v="7"/>
    <x v="2"/>
  </r>
  <r>
    <s v="TX501277"/>
    <x v="8"/>
    <x v="12"/>
    <n v="19.2"/>
    <n v="76.8"/>
    <x v="48"/>
    <d v="2025-02-20T00:00:00"/>
    <x v="2"/>
    <x v="0"/>
    <x v="0"/>
    <x v="0"/>
    <x v="11"/>
    <x v="1"/>
    <x v="7"/>
    <x v="2"/>
  </r>
  <r>
    <s v="TX501278"/>
    <x v="5"/>
    <x v="8"/>
    <n v="26.5"/>
    <n v="212"/>
    <x v="48"/>
    <d v="2025-02-19T00:00:00"/>
    <x v="0"/>
    <x v="3"/>
    <x v="2"/>
    <x v="0"/>
    <x v="11"/>
    <x v="3"/>
    <x v="7"/>
    <x v="0"/>
  </r>
  <r>
    <s v="TX501279"/>
    <x v="2"/>
    <x v="1"/>
    <n v="220.3"/>
    <n v="440.6"/>
    <x v="48"/>
    <d v="2025-02-19T00:00:00"/>
    <x v="2"/>
    <x v="1"/>
    <x v="4"/>
    <x v="0"/>
    <x v="53"/>
    <x v="3"/>
    <x v="7"/>
    <x v="2"/>
  </r>
  <r>
    <s v="TX501280"/>
    <x v="8"/>
    <x v="2"/>
    <n v="45.7"/>
    <n v="137.10000000000002"/>
    <x v="48"/>
    <d v="2025-02-19T00:00:00"/>
    <x v="2"/>
    <x v="4"/>
    <x v="0"/>
    <x v="0"/>
    <x v="30"/>
    <x v="3"/>
    <x v="7"/>
    <x v="2"/>
  </r>
  <r>
    <s v="TX501281"/>
    <x v="5"/>
    <x v="9"/>
    <n v="47.1"/>
    <n v="235.5"/>
    <x v="48"/>
    <d v="2025-02-22T00:00:00"/>
    <x v="2"/>
    <x v="3"/>
    <x v="0"/>
    <x v="0"/>
    <x v="13"/>
    <x v="5"/>
    <x v="7"/>
    <x v="2"/>
  </r>
  <r>
    <s v="TX501282"/>
    <x v="1"/>
    <x v="9"/>
    <n v="81.7"/>
    <n v="408.5"/>
    <x v="48"/>
    <d v="2025-02-19T00:00:00"/>
    <x v="2"/>
    <x v="0"/>
    <x v="2"/>
    <x v="0"/>
    <x v="21"/>
    <x v="3"/>
    <x v="7"/>
    <x v="2"/>
  </r>
  <r>
    <s v="TX501283"/>
    <x v="6"/>
    <x v="7"/>
    <n v="97.8"/>
    <n v="978"/>
    <x v="48"/>
    <d v="2025-02-18T00:00:00"/>
    <x v="1"/>
    <x v="1"/>
    <x v="1"/>
    <x v="0"/>
    <x v="21"/>
    <x v="7"/>
    <x v="7"/>
    <x v="1"/>
  </r>
  <r>
    <s v="TX501284"/>
    <x v="6"/>
    <x v="2"/>
    <n v="42.4"/>
    <n v="127.19999999999999"/>
    <x v="48"/>
    <d v="2025-02-19T00:00:00"/>
    <x v="2"/>
    <x v="0"/>
    <x v="2"/>
    <x v="0"/>
    <x v="54"/>
    <x v="3"/>
    <x v="7"/>
    <x v="2"/>
  </r>
  <r>
    <s v="TX501285"/>
    <x v="2"/>
    <x v="7"/>
    <n v="74.5"/>
    <n v="745"/>
    <x v="48"/>
    <d v="2025-02-19T00:00:00"/>
    <x v="1"/>
    <x v="2"/>
    <x v="1"/>
    <x v="0"/>
    <x v="1"/>
    <x v="3"/>
    <x v="7"/>
    <x v="1"/>
  </r>
  <r>
    <s v="TX501286"/>
    <x v="17"/>
    <x v="13"/>
    <n v="47.4"/>
    <n v="284.39999999999998"/>
    <x v="48"/>
    <d v="2025-02-19T00:00:00"/>
    <x v="1"/>
    <x v="1"/>
    <x v="0"/>
    <x v="0"/>
    <x v="1"/>
    <x v="3"/>
    <x v="7"/>
    <x v="1"/>
  </r>
  <r>
    <s v="TX501287"/>
    <x v="14"/>
    <x v="2"/>
    <n v="17.3"/>
    <n v="51.900000000000006"/>
    <x v="49"/>
    <d v="2025-02-22T00:00:00"/>
    <x v="1"/>
    <x v="2"/>
    <x v="2"/>
    <x v="0"/>
    <x v="1"/>
    <x v="2"/>
    <x v="7"/>
    <x v="1"/>
  </r>
  <r>
    <s v="TX501288"/>
    <x v="12"/>
    <x v="12"/>
    <n v="77.900000000000006"/>
    <n v="311.60000000000002"/>
    <x v="49"/>
    <d v="2025-02-20T00:00:00"/>
    <x v="1"/>
    <x v="1"/>
    <x v="0"/>
    <x v="0"/>
    <x v="2"/>
    <x v="3"/>
    <x v="7"/>
    <x v="1"/>
  </r>
  <r>
    <s v="TX501289"/>
    <x v="8"/>
    <x v="0"/>
    <n v="29.1"/>
    <n v="29.1"/>
    <x v="49"/>
    <d v="2025-02-22T00:00:00"/>
    <x v="1"/>
    <x v="0"/>
    <x v="2"/>
    <x v="0"/>
    <x v="50"/>
    <x v="2"/>
    <x v="7"/>
    <x v="1"/>
  </r>
  <r>
    <s v="TX501290"/>
    <x v="8"/>
    <x v="0"/>
    <n v="49"/>
    <n v="49"/>
    <x v="49"/>
    <d v="2025-02-20T00:00:00"/>
    <x v="1"/>
    <x v="1"/>
    <x v="0"/>
    <x v="0"/>
    <x v="3"/>
    <x v="3"/>
    <x v="7"/>
    <x v="1"/>
  </r>
  <r>
    <s v="TX501291"/>
    <x v="8"/>
    <x v="13"/>
    <n v="21.1"/>
    <n v="126.60000000000001"/>
    <x v="49"/>
    <d v="2025-02-26T00:00:00"/>
    <x v="1"/>
    <x v="0"/>
    <x v="2"/>
    <x v="0"/>
    <x v="3"/>
    <x v="6"/>
    <x v="7"/>
    <x v="1"/>
  </r>
  <r>
    <s v="TX501292"/>
    <x v="4"/>
    <x v="10"/>
    <n v="36.9"/>
    <n v="701.1"/>
    <x v="49"/>
    <d v="2025-02-19T00:00:00"/>
    <x v="2"/>
    <x v="0"/>
    <x v="0"/>
    <x v="0"/>
    <x v="3"/>
    <x v="7"/>
    <x v="7"/>
    <x v="2"/>
  </r>
  <r>
    <s v="TX501293"/>
    <x v="1"/>
    <x v="7"/>
    <n v="92.6"/>
    <n v="926"/>
    <x v="49"/>
    <d v="2025-02-24T00:00:00"/>
    <x v="1"/>
    <x v="4"/>
    <x v="2"/>
    <x v="0"/>
    <x v="3"/>
    <x v="0"/>
    <x v="7"/>
    <x v="1"/>
  </r>
  <r>
    <s v="TX501294"/>
    <x v="10"/>
    <x v="1"/>
    <n v="38"/>
    <n v="76"/>
    <x v="49"/>
    <d v="2025-02-20T00:00:00"/>
    <x v="1"/>
    <x v="1"/>
    <x v="1"/>
    <x v="0"/>
    <x v="3"/>
    <x v="3"/>
    <x v="7"/>
    <x v="1"/>
  </r>
  <r>
    <s v="TX501295"/>
    <x v="5"/>
    <x v="2"/>
    <n v="54.8"/>
    <n v="164.39999999999998"/>
    <x v="49"/>
    <d v="2025-02-23T00:00:00"/>
    <x v="0"/>
    <x v="0"/>
    <x v="1"/>
    <x v="0"/>
    <x v="3"/>
    <x v="5"/>
    <x v="7"/>
    <x v="0"/>
  </r>
  <r>
    <s v="TX501296"/>
    <x v="10"/>
    <x v="4"/>
    <n v="56.8"/>
    <n v="681.59999999999991"/>
    <x v="49"/>
    <d v="2025-02-21T00:00:00"/>
    <x v="1"/>
    <x v="1"/>
    <x v="0"/>
    <x v="0"/>
    <x v="3"/>
    <x v="1"/>
    <x v="7"/>
    <x v="1"/>
  </r>
  <r>
    <s v="TX501297"/>
    <x v="11"/>
    <x v="40"/>
    <n v="47.2"/>
    <n v="1557.6000000000001"/>
    <x v="49"/>
    <d v="2025-02-22T00:00:00"/>
    <x v="2"/>
    <x v="1"/>
    <x v="0"/>
    <x v="0"/>
    <x v="3"/>
    <x v="2"/>
    <x v="7"/>
    <x v="2"/>
  </r>
  <r>
    <s v="TX501298"/>
    <x v="7"/>
    <x v="13"/>
    <n v="45.1"/>
    <n v="270.60000000000002"/>
    <x v="49"/>
    <d v="2025-02-20T00:00:00"/>
    <x v="2"/>
    <x v="2"/>
    <x v="0"/>
    <x v="0"/>
    <x v="43"/>
    <x v="3"/>
    <x v="7"/>
    <x v="2"/>
  </r>
  <r>
    <s v="TX501299"/>
    <x v="4"/>
    <x v="4"/>
    <n v="25.2"/>
    <n v="302.39999999999998"/>
    <x v="49"/>
    <d v="2025-02-24T00:00:00"/>
    <x v="2"/>
    <x v="2"/>
    <x v="0"/>
    <x v="0"/>
    <x v="16"/>
    <x v="0"/>
    <x v="7"/>
    <x v="2"/>
  </r>
  <r>
    <s v="TX501300"/>
    <x v="8"/>
    <x v="0"/>
    <n v="22"/>
    <n v="22"/>
    <x v="49"/>
    <d v="2025-02-20T00:00:00"/>
    <x v="2"/>
    <x v="0"/>
    <x v="0"/>
    <x v="0"/>
    <x v="5"/>
    <x v="3"/>
    <x v="7"/>
    <x v="2"/>
  </r>
  <r>
    <s v="TX501301"/>
    <x v="6"/>
    <x v="1"/>
    <n v="42.2"/>
    <n v="84.4"/>
    <x v="49"/>
    <d v="2025-02-20T00:00:00"/>
    <x v="2"/>
    <x v="1"/>
    <x v="1"/>
    <x v="0"/>
    <x v="23"/>
    <x v="3"/>
    <x v="7"/>
    <x v="2"/>
  </r>
  <r>
    <s v="TX501302"/>
    <x v="13"/>
    <x v="2"/>
    <n v="20.5"/>
    <n v="61.5"/>
    <x v="49"/>
    <d v="2025-02-20T00:00:00"/>
    <x v="1"/>
    <x v="0"/>
    <x v="1"/>
    <x v="0"/>
    <x v="6"/>
    <x v="3"/>
    <x v="7"/>
    <x v="1"/>
  </r>
  <r>
    <s v="TX501303"/>
    <x v="2"/>
    <x v="0"/>
    <n v="190.4"/>
    <n v="190.4"/>
    <x v="49"/>
    <d v="2025-02-24T00:00:00"/>
    <x v="1"/>
    <x v="1"/>
    <x v="4"/>
    <x v="0"/>
    <x v="6"/>
    <x v="0"/>
    <x v="7"/>
    <x v="1"/>
  </r>
  <r>
    <s v="TX501304"/>
    <x v="2"/>
    <x v="0"/>
    <n v="121.9"/>
    <n v="121.9"/>
    <x v="49"/>
    <d v="2025-02-21T00:00:00"/>
    <x v="2"/>
    <x v="1"/>
    <x v="2"/>
    <x v="0"/>
    <x v="6"/>
    <x v="1"/>
    <x v="7"/>
    <x v="2"/>
  </r>
  <r>
    <s v="TX501305"/>
    <x v="2"/>
    <x v="13"/>
    <n v="149.19999999999999"/>
    <n v="895.19999999999993"/>
    <x v="49"/>
    <d v="2025-02-20T00:00:00"/>
    <x v="2"/>
    <x v="2"/>
    <x v="2"/>
    <x v="0"/>
    <x v="7"/>
    <x v="3"/>
    <x v="7"/>
    <x v="2"/>
  </r>
  <r>
    <s v="TX501306"/>
    <x v="2"/>
    <x v="0"/>
    <n v="54.1"/>
    <n v="54.1"/>
    <x v="49"/>
    <d v="2025-02-28T00:00:00"/>
    <x v="2"/>
    <x v="2"/>
    <x v="2"/>
    <x v="0"/>
    <x v="7"/>
    <x v="8"/>
    <x v="7"/>
    <x v="2"/>
  </r>
  <r>
    <s v="TX501307"/>
    <x v="5"/>
    <x v="1"/>
    <n v="27.4"/>
    <n v="54.8"/>
    <x v="49"/>
    <d v="2025-02-21T00:00:00"/>
    <x v="1"/>
    <x v="1"/>
    <x v="0"/>
    <x v="0"/>
    <x v="8"/>
    <x v="1"/>
    <x v="7"/>
    <x v="1"/>
  </r>
  <r>
    <s v="TX501308"/>
    <x v="0"/>
    <x v="15"/>
    <n v="30.4"/>
    <n v="395.2"/>
    <x v="49"/>
    <d v="2025-02-20T00:00:00"/>
    <x v="2"/>
    <x v="0"/>
    <x v="2"/>
    <x v="0"/>
    <x v="8"/>
    <x v="3"/>
    <x v="7"/>
    <x v="2"/>
  </r>
  <r>
    <s v="TX501309"/>
    <x v="12"/>
    <x v="2"/>
    <n v="46.2"/>
    <n v="138.60000000000002"/>
    <x v="49"/>
    <d v="2025-02-21T00:00:00"/>
    <x v="1"/>
    <x v="2"/>
    <x v="1"/>
    <x v="0"/>
    <x v="17"/>
    <x v="1"/>
    <x v="7"/>
    <x v="1"/>
  </r>
  <r>
    <s v="TX501310"/>
    <x v="7"/>
    <x v="8"/>
    <n v="78.599999999999994"/>
    <n v="628.79999999999995"/>
    <x v="49"/>
    <d v="2025-02-23T00:00:00"/>
    <x v="1"/>
    <x v="3"/>
    <x v="0"/>
    <x v="0"/>
    <x v="17"/>
    <x v="5"/>
    <x v="7"/>
    <x v="1"/>
  </r>
  <r>
    <s v="TX501311"/>
    <x v="17"/>
    <x v="7"/>
    <n v="25.9"/>
    <n v="259"/>
    <x v="49"/>
    <d v="2025-02-25T00:00:00"/>
    <x v="1"/>
    <x v="4"/>
    <x v="0"/>
    <x v="0"/>
    <x v="9"/>
    <x v="4"/>
    <x v="7"/>
    <x v="1"/>
  </r>
  <r>
    <s v="TX501312"/>
    <x v="6"/>
    <x v="0"/>
    <n v="134.80000000000001"/>
    <n v="134.80000000000001"/>
    <x v="49"/>
    <d v="2025-02-21T00:00:00"/>
    <x v="1"/>
    <x v="2"/>
    <x v="2"/>
    <x v="0"/>
    <x v="9"/>
    <x v="1"/>
    <x v="7"/>
    <x v="1"/>
  </r>
  <r>
    <s v="TX501313"/>
    <x v="15"/>
    <x v="9"/>
    <n v="43.1"/>
    <n v="215.5"/>
    <x v="49"/>
    <d v="2025-02-21T00:00:00"/>
    <x v="2"/>
    <x v="0"/>
    <x v="0"/>
    <x v="0"/>
    <x v="11"/>
    <x v="1"/>
    <x v="7"/>
    <x v="2"/>
  </r>
  <r>
    <s v="TX501314"/>
    <x v="2"/>
    <x v="1"/>
    <n v="215.6"/>
    <n v="431.2"/>
    <x v="49"/>
    <d v="2025-02-20T00:00:00"/>
    <x v="2"/>
    <x v="2"/>
    <x v="0"/>
    <x v="0"/>
    <x v="18"/>
    <x v="3"/>
    <x v="7"/>
    <x v="2"/>
  </r>
  <r>
    <s v="TX501315"/>
    <x v="6"/>
    <x v="1"/>
    <n v="80.7"/>
    <n v="161.4"/>
    <x v="49"/>
    <d v="2025-02-22T00:00:00"/>
    <x v="2"/>
    <x v="3"/>
    <x v="0"/>
    <x v="0"/>
    <x v="18"/>
    <x v="2"/>
    <x v="7"/>
    <x v="2"/>
  </r>
  <r>
    <s v="TX501316"/>
    <x v="10"/>
    <x v="3"/>
    <n v="20.6"/>
    <n v="144.20000000000002"/>
    <x v="49"/>
    <d v="2025-02-24T00:00:00"/>
    <x v="0"/>
    <x v="2"/>
    <x v="1"/>
    <x v="0"/>
    <x v="19"/>
    <x v="0"/>
    <x v="7"/>
    <x v="0"/>
  </r>
  <r>
    <s v="TX501317"/>
    <x v="12"/>
    <x v="2"/>
    <n v="37.1"/>
    <n v="111.30000000000001"/>
    <x v="49"/>
    <d v="2025-02-20T00:00:00"/>
    <x v="2"/>
    <x v="0"/>
    <x v="0"/>
    <x v="0"/>
    <x v="52"/>
    <x v="3"/>
    <x v="7"/>
    <x v="2"/>
  </r>
  <r>
    <s v="TX501318"/>
    <x v="12"/>
    <x v="0"/>
    <n v="104.8"/>
    <n v="104.8"/>
    <x v="50"/>
    <d v="2025-02-22T00:00:00"/>
    <x v="2"/>
    <x v="0"/>
    <x v="0"/>
    <x v="0"/>
    <x v="13"/>
    <x v="1"/>
    <x v="7"/>
    <x v="2"/>
  </r>
  <r>
    <s v="TX501319"/>
    <x v="8"/>
    <x v="1"/>
    <n v="59"/>
    <n v="118"/>
    <x v="50"/>
    <d v="2025-02-21T00:00:00"/>
    <x v="1"/>
    <x v="1"/>
    <x v="0"/>
    <x v="0"/>
    <x v="21"/>
    <x v="3"/>
    <x v="7"/>
    <x v="1"/>
  </r>
  <r>
    <s v="TX501320"/>
    <x v="8"/>
    <x v="1"/>
    <n v="32.299999999999997"/>
    <n v="64.599999999999994"/>
    <x v="50"/>
    <d v="2025-02-21T00:00:00"/>
    <x v="1"/>
    <x v="0"/>
    <x v="2"/>
    <x v="0"/>
    <x v="21"/>
    <x v="3"/>
    <x v="7"/>
    <x v="1"/>
  </r>
  <r>
    <s v="TX501321"/>
    <x v="8"/>
    <x v="12"/>
    <n v="28.9"/>
    <n v="115.6"/>
    <x v="50"/>
    <d v="2025-02-27T00:00:00"/>
    <x v="1"/>
    <x v="0"/>
    <x v="0"/>
    <x v="0"/>
    <x v="1"/>
    <x v="6"/>
    <x v="7"/>
    <x v="1"/>
  </r>
  <r>
    <s v="TX501322"/>
    <x v="0"/>
    <x v="1"/>
    <n v="29.6"/>
    <n v="59.2"/>
    <x v="50"/>
    <d v="2025-02-22T00:00:00"/>
    <x v="1"/>
    <x v="0"/>
    <x v="0"/>
    <x v="0"/>
    <x v="1"/>
    <x v="1"/>
    <x v="7"/>
    <x v="1"/>
  </r>
  <r>
    <s v="TX501323"/>
    <x v="0"/>
    <x v="9"/>
    <n v="29.4"/>
    <n v="147"/>
    <x v="50"/>
    <d v="2025-02-23T00:00:00"/>
    <x v="2"/>
    <x v="0"/>
    <x v="0"/>
    <x v="0"/>
    <x v="1"/>
    <x v="2"/>
    <x v="7"/>
    <x v="2"/>
  </r>
  <r>
    <s v="TX501324"/>
    <x v="1"/>
    <x v="1"/>
    <n v="40.6"/>
    <n v="81.2"/>
    <x v="50"/>
    <d v="2025-02-21T00:00:00"/>
    <x v="1"/>
    <x v="0"/>
    <x v="4"/>
    <x v="0"/>
    <x v="2"/>
    <x v="3"/>
    <x v="7"/>
    <x v="1"/>
  </r>
  <r>
    <s v="TX501325"/>
    <x v="0"/>
    <x v="2"/>
    <n v="32.5"/>
    <n v="97.5"/>
    <x v="50"/>
    <d v="2025-02-21T00:00:00"/>
    <x v="1"/>
    <x v="3"/>
    <x v="2"/>
    <x v="0"/>
    <x v="22"/>
    <x v="3"/>
    <x v="7"/>
    <x v="1"/>
  </r>
  <r>
    <s v="TX501326"/>
    <x v="15"/>
    <x v="0"/>
    <n v="26.2"/>
    <n v="26.2"/>
    <x v="50"/>
    <d v="2025-02-22T00:00:00"/>
    <x v="1"/>
    <x v="2"/>
    <x v="0"/>
    <x v="0"/>
    <x v="55"/>
    <x v="1"/>
    <x v="7"/>
    <x v="1"/>
  </r>
  <r>
    <s v="TX501327"/>
    <x v="10"/>
    <x v="17"/>
    <n v="44"/>
    <n v="1320"/>
    <x v="50"/>
    <d v="2025-02-26T00:00:00"/>
    <x v="1"/>
    <x v="4"/>
    <x v="0"/>
    <x v="0"/>
    <x v="3"/>
    <x v="4"/>
    <x v="7"/>
    <x v="1"/>
  </r>
  <r>
    <s v="TX501328"/>
    <x v="7"/>
    <x v="12"/>
    <n v="65.599999999999994"/>
    <n v="262.39999999999998"/>
    <x v="50"/>
    <d v="2025-02-21T00:00:00"/>
    <x v="2"/>
    <x v="1"/>
    <x v="1"/>
    <x v="0"/>
    <x v="3"/>
    <x v="3"/>
    <x v="7"/>
    <x v="2"/>
  </r>
  <r>
    <s v="TX501329"/>
    <x v="5"/>
    <x v="4"/>
    <n v="32.6"/>
    <n v="391.20000000000005"/>
    <x v="50"/>
    <d v="2025-02-21T00:00:00"/>
    <x v="1"/>
    <x v="4"/>
    <x v="0"/>
    <x v="0"/>
    <x v="3"/>
    <x v="3"/>
    <x v="7"/>
    <x v="1"/>
  </r>
  <r>
    <s v="TX501330"/>
    <x v="16"/>
    <x v="1"/>
    <n v="88.7"/>
    <n v="177.4"/>
    <x v="50"/>
    <d v="2025-02-21T00:00:00"/>
    <x v="0"/>
    <x v="3"/>
    <x v="2"/>
    <x v="0"/>
    <x v="3"/>
    <x v="3"/>
    <x v="7"/>
    <x v="0"/>
  </r>
  <r>
    <s v="TX501331"/>
    <x v="4"/>
    <x v="1"/>
    <n v="21.3"/>
    <n v="42.6"/>
    <x v="50"/>
    <d v="2025-02-21T00:00:00"/>
    <x v="1"/>
    <x v="0"/>
    <x v="0"/>
    <x v="0"/>
    <x v="3"/>
    <x v="3"/>
    <x v="7"/>
    <x v="1"/>
  </r>
  <r>
    <s v="TX501332"/>
    <x v="4"/>
    <x v="13"/>
    <n v="50.6"/>
    <n v="303.60000000000002"/>
    <x v="50"/>
    <d v="2025-02-24T00:00:00"/>
    <x v="2"/>
    <x v="2"/>
    <x v="0"/>
    <x v="0"/>
    <x v="3"/>
    <x v="5"/>
    <x v="7"/>
    <x v="2"/>
  </r>
  <r>
    <s v="TX501333"/>
    <x v="9"/>
    <x v="38"/>
    <n v="86.9"/>
    <n v="1824.9"/>
    <x v="50"/>
    <d v="2025-02-23T00:00:00"/>
    <x v="2"/>
    <x v="0"/>
    <x v="1"/>
    <x v="0"/>
    <x v="3"/>
    <x v="2"/>
    <x v="7"/>
    <x v="2"/>
  </r>
  <r>
    <s v="TX501334"/>
    <x v="11"/>
    <x v="2"/>
    <n v="31.8"/>
    <n v="95.4"/>
    <x v="50"/>
    <d v="2025-02-22T00:00:00"/>
    <x v="1"/>
    <x v="0"/>
    <x v="2"/>
    <x v="0"/>
    <x v="3"/>
    <x v="1"/>
    <x v="7"/>
    <x v="1"/>
  </r>
  <r>
    <s v="TX501335"/>
    <x v="8"/>
    <x v="0"/>
    <n v="19"/>
    <n v="19"/>
    <x v="50"/>
    <d v="2025-02-21T00:00:00"/>
    <x v="2"/>
    <x v="0"/>
    <x v="2"/>
    <x v="0"/>
    <x v="3"/>
    <x v="3"/>
    <x v="7"/>
    <x v="2"/>
  </r>
  <r>
    <s v="TX501336"/>
    <x v="5"/>
    <x v="0"/>
    <n v="54.5"/>
    <n v="54.5"/>
    <x v="50"/>
    <d v="2025-02-22T00:00:00"/>
    <x v="1"/>
    <x v="0"/>
    <x v="0"/>
    <x v="0"/>
    <x v="3"/>
    <x v="1"/>
    <x v="7"/>
    <x v="1"/>
  </r>
  <r>
    <s v="TX501337"/>
    <x v="9"/>
    <x v="9"/>
    <n v="68.900000000000006"/>
    <n v="344.5"/>
    <x v="50"/>
    <d v="2025-02-22T00:00:00"/>
    <x v="1"/>
    <x v="4"/>
    <x v="1"/>
    <x v="0"/>
    <x v="3"/>
    <x v="1"/>
    <x v="7"/>
    <x v="1"/>
  </r>
  <r>
    <s v="TX501338"/>
    <x v="6"/>
    <x v="2"/>
    <n v="84"/>
    <n v="252"/>
    <x v="50"/>
    <d v="2025-02-21T00:00:00"/>
    <x v="1"/>
    <x v="1"/>
    <x v="4"/>
    <x v="0"/>
    <x v="16"/>
    <x v="3"/>
    <x v="7"/>
    <x v="1"/>
  </r>
  <r>
    <s v="TX501339"/>
    <x v="15"/>
    <x v="8"/>
    <n v="23.1"/>
    <n v="184.8"/>
    <x v="50"/>
    <d v="2025-02-25T00:00:00"/>
    <x v="1"/>
    <x v="0"/>
    <x v="2"/>
    <x v="0"/>
    <x v="23"/>
    <x v="0"/>
    <x v="7"/>
    <x v="1"/>
  </r>
  <r>
    <s v="TX501340"/>
    <x v="7"/>
    <x v="1"/>
    <n v="62.4"/>
    <n v="124.8"/>
    <x v="50"/>
    <d v="2025-02-21T00:00:00"/>
    <x v="2"/>
    <x v="0"/>
    <x v="1"/>
    <x v="0"/>
    <x v="6"/>
    <x v="3"/>
    <x v="7"/>
    <x v="2"/>
  </r>
  <r>
    <s v="TX501341"/>
    <x v="6"/>
    <x v="4"/>
    <n v="40.700000000000003"/>
    <n v="488.40000000000003"/>
    <x v="50"/>
    <d v="2025-02-22T00:00:00"/>
    <x v="1"/>
    <x v="1"/>
    <x v="2"/>
    <x v="0"/>
    <x v="6"/>
    <x v="1"/>
    <x v="7"/>
    <x v="1"/>
  </r>
  <r>
    <s v="TX501342"/>
    <x v="6"/>
    <x v="0"/>
    <n v="49.6"/>
    <n v="49.6"/>
    <x v="50"/>
    <d v="2025-02-23T00:00:00"/>
    <x v="1"/>
    <x v="2"/>
    <x v="0"/>
    <x v="0"/>
    <x v="7"/>
    <x v="2"/>
    <x v="7"/>
    <x v="1"/>
  </r>
  <r>
    <s v="TX501343"/>
    <x v="7"/>
    <x v="41"/>
    <n v="66.599999999999994"/>
    <n v="2996.9999999999995"/>
    <x v="50"/>
    <d v="2025-02-23T00:00:00"/>
    <x v="1"/>
    <x v="2"/>
    <x v="0"/>
    <x v="0"/>
    <x v="8"/>
    <x v="2"/>
    <x v="7"/>
    <x v="1"/>
  </r>
  <r>
    <s v="TX501344"/>
    <x v="8"/>
    <x v="2"/>
    <n v="26.4"/>
    <n v="79.199999999999989"/>
    <x v="50"/>
    <d v="2025-02-21T00:00:00"/>
    <x v="2"/>
    <x v="1"/>
    <x v="1"/>
    <x v="0"/>
    <x v="8"/>
    <x v="3"/>
    <x v="7"/>
    <x v="2"/>
  </r>
  <r>
    <s v="TX501345"/>
    <x v="0"/>
    <x v="1"/>
    <n v="17.2"/>
    <n v="34.4"/>
    <x v="50"/>
    <d v="2025-02-23T00:00:00"/>
    <x v="1"/>
    <x v="2"/>
    <x v="1"/>
    <x v="0"/>
    <x v="8"/>
    <x v="2"/>
    <x v="7"/>
    <x v="1"/>
  </r>
  <r>
    <s v="TX501346"/>
    <x v="5"/>
    <x v="8"/>
    <n v="58.1"/>
    <n v="464.8"/>
    <x v="50"/>
    <d v="2025-02-23T00:00:00"/>
    <x v="2"/>
    <x v="4"/>
    <x v="0"/>
    <x v="0"/>
    <x v="8"/>
    <x v="2"/>
    <x v="7"/>
    <x v="2"/>
  </r>
  <r>
    <s v="TX501347"/>
    <x v="15"/>
    <x v="12"/>
    <n v="31.5"/>
    <n v="126"/>
    <x v="50"/>
    <d v="2025-02-23T00:00:00"/>
    <x v="2"/>
    <x v="4"/>
    <x v="4"/>
    <x v="0"/>
    <x v="8"/>
    <x v="2"/>
    <x v="7"/>
    <x v="2"/>
  </r>
  <r>
    <s v="TX501348"/>
    <x v="0"/>
    <x v="0"/>
    <n v="27.1"/>
    <n v="27.1"/>
    <x v="50"/>
    <d v="2025-02-22T00:00:00"/>
    <x v="2"/>
    <x v="0"/>
    <x v="1"/>
    <x v="0"/>
    <x v="17"/>
    <x v="1"/>
    <x v="7"/>
    <x v="2"/>
  </r>
  <r>
    <s v="TX501349"/>
    <x v="18"/>
    <x v="12"/>
    <n v="28.5"/>
    <n v="114"/>
    <x v="50"/>
    <d v="2025-02-22T00:00:00"/>
    <x v="1"/>
    <x v="1"/>
    <x v="2"/>
    <x v="0"/>
    <x v="9"/>
    <x v="1"/>
    <x v="7"/>
    <x v="1"/>
  </r>
  <r>
    <s v="TX501350"/>
    <x v="10"/>
    <x v="0"/>
    <n v="40.5"/>
    <n v="40.5"/>
    <x v="51"/>
    <d v="2025-02-23T00:00:00"/>
    <x v="3"/>
    <x v="2"/>
    <x v="0"/>
    <x v="0"/>
    <x v="9"/>
    <x v="1"/>
    <x v="7"/>
    <x v="3"/>
  </r>
  <r>
    <s v="TX501351"/>
    <x v="2"/>
    <x v="2"/>
    <n v="77.900000000000006"/>
    <n v="233.70000000000002"/>
    <x v="51"/>
    <d v="2025-02-25T00:00:00"/>
    <x v="2"/>
    <x v="1"/>
    <x v="2"/>
    <x v="0"/>
    <x v="19"/>
    <x v="5"/>
    <x v="7"/>
    <x v="2"/>
  </r>
  <r>
    <s v="TX501352"/>
    <x v="18"/>
    <x v="12"/>
    <n v="37.1"/>
    <n v="148.4"/>
    <x v="51"/>
    <d v="2025-02-23T00:00:00"/>
    <x v="1"/>
    <x v="4"/>
    <x v="2"/>
    <x v="0"/>
    <x v="19"/>
    <x v="1"/>
    <x v="7"/>
    <x v="1"/>
  </r>
  <r>
    <s v="TX501353"/>
    <x v="16"/>
    <x v="2"/>
    <n v="51.6"/>
    <n v="154.80000000000001"/>
    <x v="51"/>
    <d v="2025-03-01T00:00:00"/>
    <x v="2"/>
    <x v="0"/>
    <x v="4"/>
    <x v="0"/>
    <x v="19"/>
    <x v="9"/>
    <x v="7"/>
    <x v="2"/>
  </r>
  <r>
    <s v="TX501354"/>
    <x v="7"/>
    <x v="2"/>
    <n v="98"/>
    <n v="294"/>
    <x v="51"/>
    <d v="2025-02-22T00:00:00"/>
    <x v="1"/>
    <x v="1"/>
    <x v="1"/>
    <x v="0"/>
    <x v="19"/>
    <x v="3"/>
    <x v="7"/>
    <x v="1"/>
  </r>
  <r>
    <s v="TX501355"/>
    <x v="6"/>
    <x v="3"/>
    <n v="41.4"/>
    <n v="289.8"/>
    <x v="51"/>
    <d v="2025-02-22T00:00:00"/>
    <x v="1"/>
    <x v="1"/>
    <x v="0"/>
    <x v="0"/>
    <x v="20"/>
    <x v="3"/>
    <x v="7"/>
    <x v="1"/>
  </r>
  <r>
    <s v="TX501356"/>
    <x v="11"/>
    <x v="8"/>
    <n v="34"/>
    <n v="272"/>
    <x v="51"/>
    <d v="2025-02-26T00:00:00"/>
    <x v="2"/>
    <x v="0"/>
    <x v="2"/>
    <x v="0"/>
    <x v="52"/>
    <x v="0"/>
    <x v="7"/>
    <x v="2"/>
  </r>
  <r>
    <s v="TX501357"/>
    <x v="6"/>
    <x v="0"/>
    <n v="66.3"/>
    <n v="66.3"/>
    <x v="51"/>
    <d v="2025-02-22T00:00:00"/>
    <x v="2"/>
    <x v="1"/>
    <x v="0"/>
    <x v="0"/>
    <x v="13"/>
    <x v="3"/>
    <x v="7"/>
    <x v="2"/>
  </r>
  <r>
    <s v="TX501358"/>
    <x v="7"/>
    <x v="0"/>
    <n v="33.5"/>
    <n v="33.5"/>
    <x v="51"/>
    <d v="2025-02-25T00:00:00"/>
    <x v="1"/>
    <x v="2"/>
    <x v="0"/>
    <x v="0"/>
    <x v="13"/>
    <x v="5"/>
    <x v="7"/>
    <x v="1"/>
  </r>
  <r>
    <s v="TX501359"/>
    <x v="12"/>
    <x v="1"/>
    <n v="70.8"/>
    <n v="141.6"/>
    <x v="51"/>
    <d v="2025-02-22T00:00:00"/>
    <x v="0"/>
    <x v="0"/>
    <x v="0"/>
    <x v="0"/>
    <x v="28"/>
    <x v="3"/>
    <x v="7"/>
    <x v="0"/>
  </r>
  <r>
    <s v="TX501360"/>
    <x v="6"/>
    <x v="1"/>
    <n v="127.6"/>
    <n v="255.2"/>
    <x v="51"/>
    <d v="2025-02-22T00:00:00"/>
    <x v="1"/>
    <x v="0"/>
    <x v="0"/>
    <x v="0"/>
    <x v="21"/>
    <x v="3"/>
    <x v="7"/>
    <x v="1"/>
  </r>
  <r>
    <s v="TX501361"/>
    <x v="6"/>
    <x v="2"/>
    <n v="95.9"/>
    <n v="287.70000000000005"/>
    <x v="51"/>
    <d v="2025-02-22T00:00:00"/>
    <x v="2"/>
    <x v="1"/>
    <x v="1"/>
    <x v="0"/>
    <x v="21"/>
    <x v="3"/>
    <x v="7"/>
    <x v="2"/>
  </r>
  <r>
    <s v="TX501362"/>
    <x v="2"/>
    <x v="1"/>
    <n v="78.099999999999994"/>
    <n v="156.19999999999999"/>
    <x v="51"/>
    <d v="2025-02-22T00:00:00"/>
    <x v="1"/>
    <x v="0"/>
    <x v="0"/>
    <x v="0"/>
    <x v="1"/>
    <x v="3"/>
    <x v="7"/>
    <x v="1"/>
  </r>
  <r>
    <s v="TX501363"/>
    <x v="13"/>
    <x v="1"/>
    <n v="43.2"/>
    <n v="86.4"/>
    <x v="51"/>
    <d v="2025-02-22T00:00:00"/>
    <x v="0"/>
    <x v="1"/>
    <x v="1"/>
    <x v="0"/>
    <x v="1"/>
    <x v="3"/>
    <x v="7"/>
    <x v="0"/>
  </r>
  <r>
    <s v="TX501364"/>
    <x v="8"/>
    <x v="12"/>
    <n v="28.4"/>
    <n v="113.6"/>
    <x v="51"/>
    <d v="2025-02-27T00:00:00"/>
    <x v="1"/>
    <x v="2"/>
    <x v="0"/>
    <x v="0"/>
    <x v="3"/>
    <x v="4"/>
    <x v="7"/>
    <x v="1"/>
  </r>
  <r>
    <s v="TX501365"/>
    <x v="2"/>
    <x v="1"/>
    <n v="81.7"/>
    <n v="163.4"/>
    <x v="51"/>
    <d v="2025-02-21T00:00:00"/>
    <x v="1"/>
    <x v="0"/>
    <x v="0"/>
    <x v="0"/>
    <x v="3"/>
    <x v="7"/>
    <x v="7"/>
    <x v="1"/>
  </r>
  <r>
    <s v="TX501366"/>
    <x v="18"/>
    <x v="1"/>
    <n v="56.7"/>
    <n v="113.4"/>
    <x v="51"/>
    <d v="2025-02-23T00:00:00"/>
    <x v="0"/>
    <x v="0"/>
    <x v="2"/>
    <x v="0"/>
    <x v="3"/>
    <x v="1"/>
    <x v="7"/>
    <x v="0"/>
  </r>
  <r>
    <s v="TX501367"/>
    <x v="3"/>
    <x v="12"/>
    <n v="66.5"/>
    <n v="266"/>
    <x v="51"/>
    <d v="2025-02-21T00:00:00"/>
    <x v="2"/>
    <x v="0"/>
    <x v="2"/>
    <x v="0"/>
    <x v="3"/>
    <x v="7"/>
    <x v="7"/>
    <x v="2"/>
  </r>
  <r>
    <s v="TX501368"/>
    <x v="1"/>
    <x v="1"/>
    <n v="105.3"/>
    <n v="210.6"/>
    <x v="51"/>
    <d v="2025-02-25T00:00:00"/>
    <x v="1"/>
    <x v="0"/>
    <x v="1"/>
    <x v="0"/>
    <x v="3"/>
    <x v="5"/>
    <x v="7"/>
    <x v="1"/>
  </r>
  <r>
    <s v="TX501369"/>
    <x v="10"/>
    <x v="9"/>
    <n v="33.799999999999997"/>
    <n v="169"/>
    <x v="51"/>
    <d v="2025-02-26T00:00:00"/>
    <x v="1"/>
    <x v="0"/>
    <x v="0"/>
    <x v="0"/>
    <x v="3"/>
    <x v="0"/>
    <x v="7"/>
    <x v="1"/>
  </r>
  <r>
    <s v="TX501370"/>
    <x v="6"/>
    <x v="2"/>
    <n v="63.4"/>
    <n v="190.2"/>
    <x v="51"/>
    <d v="2025-02-26T00:00:00"/>
    <x v="1"/>
    <x v="3"/>
    <x v="1"/>
    <x v="0"/>
    <x v="24"/>
    <x v="0"/>
    <x v="7"/>
    <x v="1"/>
  </r>
  <r>
    <s v="TX501371"/>
    <x v="6"/>
    <x v="2"/>
    <n v="49"/>
    <n v="147"/>
    <x v="51"/>
    <d v="2025-02-25T00:00:00"/>
    <x v="1"/>
    <x v="3"/>
    <x v="0"/>
    <x v="0"/>
    <x v="49"/>
    <x v="5"/>
    <x v="7"/>
    <x v="1"/>
  </r>
  <r>
    <s v="TX501372"/>
    <x v="1"/>
    <x v="1"/>
    <n v="40"/>
    <n v="80"/>
    <x v="51"/>
    <d v="2025-02-22T00:00:00"/>
    <x v="2"/>
    <x v="4"/>
    <x v="1"/>
    <x v="0"/>
    <x v="23"/>
    <x v="3"/>
    <x v="7"/>
    <x v="2"/>
  </r>
  <r>
    <s v="TX501373"/>
    <x v="6"/>
    <x v="12"/>
    <n v="86.3"/>
    <n v="345.2"/>
    <x v="51"/>
    <d v="2025-02-22T00:00:00"/>
    <x v="3"/>
    <x v="0"/>
    <x v="0"/>
    <x v="0"/>
    <x v="6"/>
    <x v="3"/>
    <x v="7"/>
    <x v="3"/>
  </r>
  <r>
    <s v="TX501374"/>
    <x v="6"/>
    <x v="0"/>
    <n v="51.6"/>
    <n v="51.6"/>
    <x v="51"/>
    <d v="2025-02-23T00:00:00"/>
    <x v="2"/>
    <x v="2"/>
    <x v="2"/>
    <x v="0"/>
    <x v="6"/>
    <x v="1"/>
    <x v="7"/>
    <x v="2"/>
  </r>
  <r>
    <s v="TX501375"/>
    <x v="10"/>
    <x v="2"/>
    <n v="26.7"/>
    <n v="80.099999999999994"/>
    <x v="51"/>
    <d v="2025-02-26T00:00:00"/>
    <x v="2"/>
    <x v="2"/>
    <x v="1"/>
    <x v="0"/>
    <x v="6"/>
    <x v="0"/>
    <x v="7"/>
    <x v="2"/>
  </r>
  <r>
    <s v="TX501376"/>
    <x v="18"/>
    <x v="1"/>
    <n v="68.099999999999994"/>
    <n v="136.19999999999999"/>
    <x v="51"/>
    <d v="2025-02-22T00:00:00"/>
    <x v="1"/>
    <x v="0"/>
    <x v="1"/>
    <x v="0"/>
    <x v="6"/>
    <x v="3"/>
    <x v="7"/>
    <x v="1"/>
  </r>
  <r>
    <s v="TX501377"/>
    <x v="1"/>
    <x v="0"/>
    <n v="81.7"/>
    <n v="81.7"/>
    <x v="51"/>
    <d v="2025-02-22T00:00:00"/>
    <x v="1"/>
    <x v="0"/>
    <x v="0"/>
    <x v="0"/>
    <x v="7"/>
    <x v="3"/>
    <x v="7"/>
    <x v="1"/>
  </r>
  <r>
    <s v="TX501378"/>
    <x v="18"/>
    <x v="7"/>
    <n v="25.1"/>
    <n v="251"/>
    <x v="51"/>
    <d v="2025-02-24T00:00:00"/>
    <x v="1"/>
    <x v="3"/>
    <x v="1"/>
    <x v="0"/>
    <x v="8"/>
    <x v="2"/>
    <x v="7"/>
    <x v="1"/>
  </r>
  <r>
    <s v="TX501379"/>
    <x v="8"/>
    <x v="0"/>
    <n v="20.2"/>
    <n v="20.2"/>
    <x v="51"/>
    <d v="2025-02-25T00:00:00"/>
    <x v="2"/>
    <x v="0"/>
    <x v="0"/>
    <x v="0"/>
    <x v="8"/>
    <x v="5"/>
    <x v="7"/>
    <x v="2"/>
  </r>
  <r>
    <s v="TX501380"/>
    <x v="8"/>
    <x v="2"/>
    <n v="15.4"/>
    <n v="46.2"/>
    <x v="51"/>
    <d v="2025-02-22T00:00:00"/>
    <x v="1"/>
    <x v="1"/>
    <x v="2"/>
    <x v="0"/>
    <x v="8"/>
    <x v="3"/>
    <x v="7"/>
    <x v="1"/>
  </r>
  <r>
    <s v="TX501381"/>
    <x v="10"/>
    <x v="0"/>
    <n v="59.2"/>
    <n v="59.2"/>
    <x v="51"/>
    <d v="2025-02-22T00:00:00"/>
    <x v="1"/>
    <x v="2"/>
    <x v="2"/>
    <x v="0"/>
    <x v="17"/>
    <x v="3"/>
    <x v="7"/>
    <x v="1"/>
  </r>
  <r>
    <s v="TX501382"/>
    <x v="0"/>
    <x v="0"/>
    <n v="46.7"/>
    <n v="46.7"/>
    <x v="51"/>
    <d v="2025-02-26T00:00:00"/>
    <x v="1"/>
    <x v="0"/>
    <x v="0"/>
    <x v="0"/>
    <x v="17"/>
    <x v="0"/>
    <x v="7"/>
    <x v="1"/>
  </r>
  <r>
    <s v="TX501383"/>
    <x v="6"/>
    <x v="20"/>
    <n v="41.6"/>
    <n v="624"/>
    <x v="51"/>
    <d v="2025-02-23T00:00:00"/>
    <x v="1"/>
    <x v="1"/>
    <x v="0"/>
    <x v="0"/>
    <x v="26"/>
    <x v="1"/>
    <x v="7"/>
    <x v="1"/>
  </r>
  <r>
    <s v="TX501384"/>
    <x v="8"/>
    <x v="1"/>
    <n v="19.2"/>
    <n v="38.4"/>
    <x v="51"/>
    <d v="2025-02-24T00:00:00"/>
    <x v="1"/>
    <x v="4"/>
    <x v="2"/>
    <x v="0"/>
    <x v="9"/>
    <x v="2"/>
    <x v="7"/>
    <x v="1"/>
  </r>
  <r>
    <s v="TX501385"/>
    <x v="17"/>
    <x v="3"/>
    <n v="41.8"/>
    <n v="292.59999999999997"/>
    <x v="51"/>
    <d v="2025-02-23T00:00:00"/>
    <x v="2"/>
    <x v="2"/>
    <x v="0"/>
    <x v="0"/>
    <x v="11"/>
    <x v="1"/>
    <x v="7"/>
    <x v="2"/>
  </r>
  <r>
    <s v="TX501386"/>
    <x v="8"/>
    <x v="13"/>
    <n v="37.4"/>
    <n v="224.39999999999998"/>
    <x v="51"/>
    <d v="2025-02-23T00:00:00"/>
    <x v="1"/>
    <x v="0"/>
    <x v="2"/>
    <x v="0"/>
    <x v="11"/>
    <x v="1"/>
    <x v="7"/>
    <x v="1"/>
  </r>
  <r>
    <s v="TX501387"/>
    <x v="10"/>
    <x v="2"/>
    <n v="60.2"/>
    <n v="180.60000000000002"/>
    <x v="51"/>
    <d v="2025-02-24T00:00:00"/>
    <x v="1"/>
    <x v="4"/>
    <x v="1"/>
    <x v="0"/>
    <x v="38"/>
    <x v="2"/>
    <x v="7"/>
    <x v="1"/>
  </r>
  <r>
    <s v="TX501388"/>
    <x v="9"/>
    <x v="1"/>
    <n v="91.5"/>
    <n v="183"/>
    <x v="52"/>
    <d v="2025-02-23T00:00:00"/>
    <x v="1"/>
    <x v="0"/>
    <x v="0"/>
    <x v="0"/>
    <x v="13"/>
    <x v="3"/>
    <x v="7"/>
    <x v="1"/>
  </r>
  <r>
    <s v="TX501389"/>
    <x v="3"/>
    <x v="9"/>
    <n v="55.7"/>
    <n v="278.5"/>
    <x v="52"/>
    <d v="2025-02-24T00:00:00"/>
    <x v="0"/>
    <x v="1"/>
    <x v="2"/>
    <x v="0"/>
    <x v="21"/>
    <x v="1"/>
    <x v="7"/>
    <x v="0"/>
  </r>
  <r>
    <s v="TX501390"/>
    <x v="7"/>
    <x v="1"/>
    <n v="76.7"/>
    <n v="153.4"/>
    <x v="52"/>
    <d v="2025-02-24T00:00:00"/>
    <x v="1"/>
    <x v="0"/>
    <x v="1"/>
    <x v="0"/>
    <x v="21"/>
    <x v="1"/>
    <x v="7"/>
    <x v="1"/>
  </r>
  <r>
    <s v="TX501391"/>
    <x v="8"/>
    <x v="38"/>
    <n v="28.2"/>
    <n v="592.19999999999993"/>
    <x v="52"/>
    <d v="2025-02-27T00:00:00"/>
    <x v="1"/>
    <x v="2"/>
    <x v="0"/>
    <x v="0"/>
    <x v="1"/>
    <x v="0"/>
    <x v="7"/>
    <x v="1"/>
  </r>
  <r>
    <s v="TX501392"/>
    <x v="7"/>
    <x v="9"/>
    <n v="93.2"/>
    <n v="466"/>
    <x v="52"/>
    <d v="2025-02-24T00:00:00"/>
    <x v="2"/>
    <x v="4"/>
    <x v="2"/>
    <x v="0"/>
    <x v="1"/>
    <x v="1"/>
    <x v="7"/>
    <x v="2"/>
  </r>
  <r>
    <s v="TX501393"/>
    <x v="17"/>
    <x v="0"/>
    <n v="33.299999999999997"/>
    <n v="33.299999999999997"/>
    <x v="52"/>
    <d v="2025-02-23T00:00:00"/>
    <x v="1"/>
    <x v="4"/>
    <x v="0"/>
    <x v="0"/>
    <x v="2"/>
    <x v="3"/>
    <x v="7"/>
    <x v="1"/>
  </r>
  <r>
    <s v="TX501394"/>
    <x v="10"/>
    <x v="1"/>
    <n v="39.1"/>
    <n v="78.2"/>
    <x v="52"/>
    <d v="2025-02-25T00:00:00"/>
    <x v="1"/>
    <x v="0"/>
    <x v="0"/>
    <x v="0"/>
    <x v="44"/>
    <x v="2"/>
    <x v="7"/>
    <x v="1"/>
  </r>
  <r>
    <s v="TX501395"/>
    <x v="7"/>
    <x v="4"/>
    <n v="45.3"/>
    <n v="543.59999999999991"/>
    <x v="52"/>
    <d v="2025-02-23T00:00:00"/>
    <x v="1"/>
    <x v="2"/>
    <x v="0"/>
    <x v="0"/>
    <x v="33"/>
    <x v="3"/>
    <x v="7"/>
    <x v="1"/>
  </r>
  <r>
    <s v="TX501396"/>
    <x v="9"/>
    <x v="3"/>
    <n v="33.9"/>
    <n v="237.29999999999998"/>
    <x v="52"/>
    <d v="2025-02-23T00:00:00"/>
    <x v="1"/>
    <x v="4"/>
    <x v="0"/>
    <x v="0"/>
    <x v="33"/>
    <x v="3"/>
    <x v="7"/>
    <x v="1"/>
  </r>
  <r>
    <s v="TX501397"/>
    <x v="8"/>
    <x v="2"/>
    <n v="19"/>
    <n v="57"/>
    <x v="52"/>
    <d v="2025-02-23T00:00:00"/>
    <x v="1"/>
    <x v="0"/>
    <x v="2"/>
    <x v="0"/>
    <x v="15"/>
    <x v="3"/>
    <x v="7"/>
    <x v="1"/>
  </r>
  <r>
    <s v="TX501398"/>
    <x v="4"/>
    <x v="0"/>
    <n v="41.9"/>
    <n v="41.9"/>
    <x v="52"/>
    <d v="2025-02-25T00:00:00"/>
    <x v="2"/>
    <x v="2"/>
    <x v="0"/>
    <x v="0"/>
    <x v="22"/>
    <x v="2"/>
    <x v="7"/>
    <x v="2"/>
  </r>
  <r>
    <s v="TX501399"/>
    <x v="1"/>
    <x v="12"/>
    <n v="37.5"/>
    <n v="150"/>
    <x v="52"/>
    <d v="2025-02-22T00:00:00"/>
    <x v="2"/>
    <x v="0"/>
    <x v="0"/>
    <x v="0"/>
    <x v="3"/>
    <x v="7"/>
    <x v="7"/>
    <x v="2"/>
  </r>
  <r>
    <s v="TX501400"/>
    <x v="0"/>
    <x v="1"/>
    <n v="40.799999999999997"/>
    <n v="81.599999999999994"/>
    <x v="52"/>
    <d v="2025-02-25T00:00:00"/>
    <x v="1"/>
    <x v="0"/>
    <x v="0"/>
    <x v="0"/>
    <x v="3"/>
    <x v="2"/>
    <x v="7"/>
    <x v="1"/>
  </r>
  <r>
    <s v="TX501401"/>
    <x v="0"/>
    <x v="12"/>
    <n v="23.1"/>
    <n v="92.4"/>
    <x v="52"/>
    <d v="2025-02-23T00:00:00"/>
    <x v="2"/>
    <x v="4"/>
    <x v="0"/>
    <x v="0"/>
    <x v="3"/>
    <x v="3"/>
    <x v="7"/>
    <x v="2"/>
  </r>
  <r>
    <s v="TX501402"/>
    <x v="8"/>
    <x v="9"/>
    <n v="39.299999999999997"/>
    <n v="196.5"/>
    <x v="52"/>
    <d v="2025-02-23T00:00:00"/>
    <x v="2"/>
    <x v="0"/>
    <x v="0"/>
    <x v="0"/>
    <x v="3"/>
    <x v="3"/>
    <x v="7"/>
    <x v="2"/>
  </r>
  <r>
    <s v="TX501403"/>
    <x v="2"/>
    <x v="12"/>
    <n v="85.2"/>
    <n v="340.8"/>
    <x v="52"/>
    <d v="2025-02-27T00:00:00"/>
    <x v="1"/>
    <x v="2"/>
    <x v="0"/>
    <x v="0"/>
    <x v="3"/>
    <x v="0"/>
    <x v="7"/>
    <x v="1"/>
  </r>
  <r>
    <s v="TX501404"/>
    <x v="8"/>
    <x v="13"/>
    <n v="16"/>
    <n v="96"/>
    <x v="52"/>
    <d v="2025-02-25T00:00:00"/>
    <x v="1"/>
    <x v="1"/>
    <x v="0"/>
    <x v="0"/>
    <x v="3"/>
    <x v="2"/>
    <x v="7"/>
    <x v="1"/>
  </r>
  <r>
    <s v="TX501405"/>
    <x v="1"/>
    <x v="1"/>
    <n v="33.799999999999997"/>
    <n v="67.599999999999994"/>
    <x v="52"/>
    <d v="2025-02-26T00:00:00"/>
    <x v="2"/>
    <x v="1"/>
    <x v="0"/>
    <x v="0"/>
    <x v="3"/>
    <x v="5"/>
    <x v="7"/>
    <x v="2"/>
  </r>
  <r>
    <s v="TX501406"/>
    <x v="3"/>
    <x v="0"/>
    <n v="70"/>
    <n v="70"/>
    <x v="52"/>
    <d v="2025-02-23T00:00:00"/>
    <x v="2"/>
    <x v="0"/>
    <x v="0"/>
    <x v="0"/>
    <x v="3"/>
    <x v="3"/>
    <x v="7"/>
    <x v="2"/>
  </r>
  <r>
    <s v="TX501407"/>
    <x v="9"/>
    <x v="0"/>
    <n v="88"/>
    <n v="88"/>
    <x v="52"/>
    <d v="2025-02-27T00:00:00"/>
    <x v="2"/>
    <x v="3"/>
    <x v="0"/>
    <x v="0"/>
    <x v="3"/>
    <x v="0"/>
    <x v="7"/>
    <x v="2"/>
  </r>
  <r>
    <s v="TX501408"/>
    <x v="2"/>
    <x v="2"/>
    <n v="74.099999999999994"/>
    <n v="222.29999999999998"/>
    <x v="52"/>
    <d v="2025-02-22T00:00:00"/>
    <x v="1"/>
    <x v="4"/>
    <x v="1"/>
    <x v="0"/>
    <x v="3"/>
    <x v="7"/>
    <x v="7"/>
    <x v="1"/>
  </r>
  <r>
    <s v="TX501409"/>
    <x v="2"/>
    <x v="0"/>
    <n v="161.9"/>
    <n v="161.9"/>
    <x v="52"/>
    <d v="2025-02-24T00:00:00"/>
    <x v="1"/>
    <x v="2"/>
    <x v="0"/>
    <x v="0"/>
    <x v="3"/>
    <x v="1"/>
    <x v="7"/>
    <x v="1"/>
  </r>
  <r>
    <s v="TX501410"/>
    <x v="4"/>
    <x v="1"/>
    <n v="44"/>
    <n v="88"/>
    <x v="52"/>
    <d v="2025-02-23T00:00:00"/>
    <x v="3"/>
    <x v="4"/>
    <x v="1"/>
    <x v="0"/>
    <x v="3"/>
    <x v="3"/>
    <x v="7"/>
    <x v="3"/>
  </r>
  <r>
    <s v="TX501411"/>
    <x v="11"/>
    <x v="0"/>
    <n v="32.1"/>
    <n v="32.1"/>
    <x v="52"/>
    <d v="2025-02-22T00:00:00"/>
    <x v="2"/>
    <x v="3"/>
    <x v="3"/>
    <x v="0"/>
    <x v="3"/>
    <x v="7"/>
    <x v="7"/>
    <x v="2"/>
  </r>
  <r>
    <s v="TX501412"/>
    <x v="2"/>
    <x v="12"/>
    <n v="104.8"/>
    <n v="419.2"/>
    <x v="53"/>
    <d v="2025-02-25T00:00:00"/>
    <x v="3"/>
    <x v="0"/>
    <x v="0"/>
    <x v="0"/>
    <x v="3"/>
    <x v="1"/>
    <x v="8"/>
    <x v="3"/>
  </r>
  <r>
    <s v="TX501413"/>
    <x v="9"/>
    <x v="13"/>
    <n v="67.400000000000006"/>
    <n v="404.40000000000003"/>
    <x v="53"/>
    <d v="2025-02-24T00:00:00"/>
    <x v="2"/>
    <x v="3"/>
    <x v="0"/>
    <x v="0"/>
    <x v="3"/>
    <x v="3"/>
    <x v="8"/>
    <x v="2"/>
  </r>
  <r>
    <s v="TX501414"/>
    <x v="6"/>
    <x v="1"/>
    <n v="115.2"/>
    <n v="230.4"/>
    <x v="53"/>
    <d v="2025-02-24T00:00:00"/>
    <x v="2"/>
    <x v="1"/>
    <x v="0"/>
    <x v="0"/>
    <x v="4"/>
    <x v="3"/>
    <x v="8"/>
    <x v="2"/>
  </r>
  <r>
    <s v="TX501415"/>
    <x v="8"/>
    <x v="19"/>
    <n v="15.5"/>
    <n v="449.5"/>
    <x v="53"/>
    <d v="2025-02-25T00:00:00"/>
    <x v="2"/>
    <x v="0"/>
    <x v="1"/>
    <x v="0"/>
    <x v="23"/>
    <x v="1"/>
    <x v="8"/>
    <x v="2"/>
  </r>
  <r>
    <s v="TX501416"/>
    <x v="6"/>
    <x v="5"/>
    <n v="66.400000000000006"/>
    <n v="730.40000000000009"/>
    <x v="53"/>
    <d v="2025-02-25T00:00:00"/>
    <x v="2"/>
    <x v="0"/>
    <x v="0"/>
    <x v="0"/>
    <x v="6"/>
    <x v="1"/>
    <x v="8"/>
    <x v="2"/>
  </r>
  <r>
    <s v="TX501417"/>
    <x v="9"/>
    <x v="4"/>
    <n v="68.099999999999994"/>
    <n v="817.19999999999993"/>
    <x v="53"/>
    <d v="2025-02-24T00:00:00"/>
    <x v="2"/>
    <x v="2"/>
    <x v="0"/>
    <x v="0"/>
    <x v="8"/>
    <x v="3"/>
    <x v="8"/>
    <x v="2"/>
  </r>
  <r>
    <s v="TX501418"/>
    <x v="8"/>
    <x v="9"/>
    <n v="32.5"/>
    <n v="162.5"/>
    <x v="53"/>
    <d v="2025-02-27T00:00:00"/>
    <x v="1"/>
    <x v="2"/>
    <x v="1"/>
    <x v="0"/>
    <x v="8"/>
    <x v="5"/>
    <x v="8"/>
    <x v="1"/>
  </r>
  <r>
    <s v="TX501419"/>
    <x v="15"/>
    <x v="2"/>
    <n v="61.2"/>
    <n v="183.60000000000002"/>
    <x v="53"/>
    <d v="2025-02-25T00:00:00"/>
    <x v="2"/>
    <x v="1"/>
    <x v="1"/>
    <x v="0"/>
    <x v="8"/>
    <x v="1"/>
    <x v="8"/>
    <x v="2"/>
  </r>
  <r>
    <s v="TX501420"/>
    <x v="9"/>
    <x v="1"/>
    <n v="54.2"/>
    <n v="108.4"/>
    <x v="53"/>
    <d v="2025-02-24T00:00:00"/>
    <x v="2"/>
    <x v="1"/>
    <x v="0"/>
    <x v="0"/>
    <x v="8"/>
    <x v="3"/>
    <x v="8"/>
    <x v="2"/>
  </r>
  <r>
    <s v="TX501421"/>
    <x v="11"/>
    <x v="8"/>
    <n v="28.7"/>
    <n v="229.6"/>
    <x v="53"/>
    <d v="2025-02-25T00:00:00"/>
    <x v="1"/>
    <x v="1"/>
    <x v="0"/>
    <x v="0"/>
    <x v="9"/>
    <x v="1"/>
    <x v="8"/>
    <x v="1"/>
  </r>
  <r>
    <s v="TX501422"/>
    <x v="12"/>
    <x v="13"/>
    <n v="38.200000000000003"/>
    <n v="229.20000000000002"/>
    <x v="53"/>
    <d v="2025-02-27T00:00:00"/>
    <x v="2"/>
    <x v="0"/>
    <x v="1"/>
    <x v="0"/>
    <x v="9"/>
    <x v="5"/>
    <x v="8"/>
    <x v="2"/>
  </r>
  <r>
    <s v="TX501423"/>
    <x v="8"/>
    <x v="4"/>
    <n v="17.600000000000001"/>
    <n v="211.20000000000002"/>
    <x v="53"/>
    <d v="2025-02-24T00:00:00"/>
    <x v="2"/>
    <x v="2"/>
    <x v="1"/>
    <x v="0"/>
    <x v="9"/>
    <x v="3"/>
    <x v="8"/>
    <x v="2"/>
  </r>
  <r>
    <s v="TX501424"/>
    <x v="10"/>
    <x v="2"/>
    <n v="74.599999999999994"/>
    <n v="223.79999999999998"/>
    <x v="53"/>
    <d v="2025-02-23T00:00:00"/>
    <x v="2"/>
    <x v="2"/>
    <x v="0"/>
    <x v="0"/>
    <x v="11"/>
    <x v="7"/>
    <x v="8"/>
    <x v="2"/>
  </r>
  <r>
    <s v="TX501425"/>
    <x v="16"/>
    <x v="20"/>
    <n v="72.599999999999994"/>
    <n v="1089"/>
    <x v="53"/>
    <d v="2025-02-23T00:00:00"/>
    <x v="0"/>
    <x v="1"/>
    <x v="1"/>
    <x v="0"/>
    <x v="11"/>
    <x v="7"/>
    <x v="8"/>
    <x v="0"/>
  </r>
  <r>
    <s v="TX501426"/>
    <x v="7"/>
    <x v="0"/>
    <n v="62.3"/>
    <n v="62.3"/>
    <x v="53"/>
    <d v="2025-02-24T00:00:00"/>
    <x v="2"/>
    <x v="1"/>
    <x v="0"/>
    <x v="0"/>
    <x v="11"/>
    <x v="3"/>
    <x v="8"/>
    <x v="2"/>
  </r>
  <r>
    <s v="TX501427"/>
    <x v="3"/>
    <x v="2"/>
    <n v="33.799999999999997"/>
    <n v="101.39999999999999"/>
    <x v="53"/>
    <d v="2025-02-25T00:00:00"/>
    <x v="1"/>
    <x v="0"/>
    <x v="2"/>
    <x v="0"/>
    <x v="20"/>
    <x v="1"/>
    <x v="8"/>
    <x v="1"/>
  </r>
  <r>
    <s v="TX501428"/>
    <x v="9"/>
    <x v="0"/>
    <n v="85.7"/>
    <n v="85.7"/>
    <x v="53"/>
    <d v="2025-02-26T00:00:00"/>
    <x v="1"/>
    <x v="3"/>
    <x v="1"/>
    <x v="0"/>
    <x v="21"/>
    <x v="2"/>
    <x v="8"/>
    <x v="1"/>
  </r>
  <r>
    <s v="TX501429"/>
    <x v="6"/>
    <x v="1"/>
    <n v="92.1"/>
    <n v="184.2"/>
    <x v="53"/>
    <d v="2025-02-25T00:00:00"/>
    <x v="1"/>
    <x v="1"/>
    <x v="0"/>
    <x v="0"/>
    <x v="21"/>
    <x v="1"/>
    <x v="8"/>
    <x v="1"/>
  </r>
  <r>
    <s v="TX501430"/>
    <x v="16"/>
    <x v="2"/>
    <n v="65.099999999999994"/>
    <n v="195.29999999999998"/>
    <x v="53"/>
    <d v="2025-02-26T00:00:00"/>
    <x v="1"/>
    <x v="0"/>
    <x v="0"/>
    <x v="0"/>
    <x v="1"/>
    <x v="2"/>
    <x v="8"/>
    <x v="1"/>
  </r>
  <r>
    <s v="TX501431"/>
    <x v="9"/>
    <x v="3"/>
    <n v="20.3"/>
    <n v="142.1"/>
    <x v="53"/>
    <d v="2025-02-24T00:00:00"/>
    <x v="2"/>
    <x v="2"/>
    <x v="2"/>
    <x v="0"/>
    <x v="2"/>
    <x v="3"/>
    <x v="8"/>
    <x v="2"/>
  </r>
  <r>
    <s v="TX501432"/>
    <x v="19"/>
    <x v="1"/>
    <n v="29.8"/>
    <n v="59.6"/>
    <x v="53"/>
    <d v="2025-02-25T00:00:00"/>
    <x v="2"/>
    <x v="1"/>
    <x v="2"/>
    <x v="0"/>
    <x v="34"/>
    <x v="1"/>
    <x v="8"/>
    <x v="2"/>
  </r>
  <r>
    <s v="TX501433"/>
    <x v="0"/>
    <x v="1"/>
    <n v="24.2"/>
    <n v="48.4"/>
    <x v="53"/>
    <d v="2025-02-25T00:00:00"/>
    <x v="2"/>
    <x v="3"/>
    <x v="2"/>
    <x v="0"/>
    <x v="3"/>
    <x v="1"/>
    <x v="8"/>
    <x v="2"/>
  </r>
  <r>
    <s v="TX501434"/>
    <x v="3"/>
    <x v="0"/>
    <n v="57.3"/>
    <n v="57.3"/>
    <x v="53"/>
    <d v="2025-02-25T00:00:00"/>
    <x v="1"/>
    <x v="0"/>
    <x v="0"/>
    <x v="0"/>
    <x v="3"/>
    <x v="1"/>
    <x v="8"/>
    <x v="1"/>
  </r>
  <r>
    <s v="TX501435"/>
    <x v="2"/>
    <x v="0"/>
    <n v="108.9"/>
    <n v="108.9"/>
    <x v="53"/>
    <d v="2025-02-25T00:00:00"/>
    <x v="2"/>
    <x v="1"/>
    <x v="0"/>
    <x v="0"/>
    <x v="3"/>
    <x v="1"/>
    <x v="8"/>
    <x v="2"/>
  </r>
  <r>
    <s v="TX501436"/>
    <x v="7"/>
    <x v="9"/>
    <n v="50.7"/>
    <n v="253.5"/>
    <x v="53"/>
    <d v="2025-02-24T00:00:00"/>
    <x v="2"/>
    <x v="0"/>
    <x v="0"/>
    <x v="0"/>
    <x v="3"/>
    <x v="3"/>
    <x v="8"/>
    <x v="2"/>
  </r>
  <r>
    <s v="TX501437"/>
    <x v="7"/>
    <x v="11"/>
    <n v="66.099999999999994"/>
    <n v="594.9"/>
    <x v="53"/>
    <d v="2025-03-09T00:00:00"/>
    <x v="2"/>
    <x v="1"/>
    <x v="0"/>
    <x v="0"/>
    <x v="3"/>
    <x v="12"/>
    <x v="8"/>
    <x v="2"/>
  </r>
  <r>
    <s v="TX501438"/>
    <x v="12"/>
    <x v="9"/>
    <n v="36.700000000000003"/>
    <n v="183.5"/>
    <x v="53"/>
    <d v="2025-02-27T00:00:00"/>
    <x v="2"/>
    <x v="4"/>
    <x v="0"/>
    <x v="0"/>
    <x v="3"/>
    <x v="5"/>
    <x v="8"/>
    <x v="2"/>
  </r>
  <r>
    <s v="TX501439"/>
    <x v="8"/>
    <x v="14"/>
    <n v="19.3"/>
    <n v="328.1"/>
    <x v="53"/>
    <d v="2025-02-25T00:00:00"/>
    <x v="1"/>
    <x v="0"/>
    <x v="0"/>
    <x v="0"/>
    <x v="43"/>
    <x v="1"/>
    <x v="8"/>
    <x v="1"/>
  </r>
  <r>
    <s v="TX501440"/>
    <x v="8"/>
    <x v="12"/>
    <n v="20.7"/>
    <n v="82.8"/>
    <x v="53"/>
    <d v="2025-02-24T00:00:00"/>
    <x v="1"/>
    <x v="1"/>
    <x v="2"/>
    <x v="0"/>
    <x v="6"/>
    <x v="3"/>
    <x v="8"/>
    <x v="1"/>
  </r>
  <r>
    <s v="TX501441"/>
    <x v="5"/>
    <x v="2"/>
    <n v="54.7"/>
    <n v="164.10000000000002"/>
    <x v="53"/>
    <d v="2025-02-23T00:00:00"/>
    <x v="3"/>
    <x v="1"/>
    <x v="4"/>
    <x v="0"/>
    <x v="6"/>
    <x v="7"/>
    <x v="8"/>
    <x v="3"/>
  </r>
  <r>
    <s v="TX501442"/>
    <x v="4"/>
    <x v="1"/>
    <n v="19.8"/>
    <n v="39.6"/>
    <x v="53"/>
    <d v="2025-02-27T00:00:00"/>
    <x v="2"/>
    <x v="4"/>
    <x v="1"/>
    <x v="0"/>
    <x v="8"/>
    <x v="5"/>
    <x v="8"/>
    <x v="2"/>
  </r>
  <r>
    <s v="TX501443"/>
    <x v="7"/>
    <x v="0"/>
    <n v="41.1"/>
    <n v="41.1"/>
    <x v="53"/>
    <d v="2025-02-25T00:00:00"/>
    <x v="2"/>
    <x v="0"/>
    <x v="2"/>
    <x v="0"/>
    <x v="8"/>
    <x v="1"/>
    <x v="8"/>
    <x v="2"/>
  </r>
  <r>
    <s v="TX501444"/>
    <x v="11"/>
    <x v="8"/>
    <n v="43.5"/>
    <n v="348"/>
    <x v="53"/>
    <d v="2025-02-27T00:00:00"/>
    <x v="2"/>
    <x v="3"/>
    <x v="0"/>
    <x v="0"/>
    <x v="8"/>
    <x v="5"/>
    <x v="8"/>
    <x v="2"/>
  </r>
  <r>
    <s v="TX501445"/>
    <x v="8"/>
    <x v="21"/>
    <n v="19"/>
    <n v="266"/>
    <x v="53"/>
    <d v="2025-02-24T00:00:00"/>
    <x v="1"/>
    <x v="0"/>
    <x v="0"/>
    <x v="0"/>
    <x v="26"/>
    <x v="3"/>
    <x v="8"/>
    <x v="1"/>
  </r>
  <r>
    <s v="TX501446"/>
    <x v="2"/>
    <x v="12"/>
    <n v="51.4"/>
    <n v="205.6"/>
    <x v="53"/>
    <d v="2025-02-23T00:00:00"/>
    <x v="2"/>
    <x v="0"/>
    <x v="0"/>
    <x v="0"/>
    <x v="26"/>
    <x v="7"/>
    <x v="8"/>
    <x v="2"/>
  </r>
  <r>
    <s v="TX501447"/>
    <x v="10"/>
    <x v="1"/>
    <n v="39.799999999999997"/>
    <n v="79.599999999999994"/>
    <x v="53"/>
    <d v="2025-02-26T00:00:00"/>
    <x v="1"/>
    <x v="3"/>
    <x v="1"/>
    <x v="0"/>
    <x v="13"/>
    <x v="2"/>
    <x v="8"/>
    <x v="1"/>
  </r>
  <r>
    <s v="TX501448"/>
    <x v="6"/>
    <x v="9"/>
    <n v="61"/>
    <n v="305"/>
    <x v="53"/>
    <d v="2025-02-24T00:00:00"/>
    <x v="0"/>
    <x v="0"/>
    <x v="2"/>
    <x v="0"/>
    <x v="21"/>
    <x v="3"/>
    <x v="8"/>
    <x v="0"/>
  </r>
  <r>
    <s v="TX501449"/>
    <x v="8"/>
    <x v="5"/>
    <n v="15.1"/>
    <n v="166.1"/>
    <x v="54"/>
    <d v="2025-03-01T00:00:00"/>
    <x v="1"/>
    <x v="3"/>
    <x v="2"/>
    <x v="0"/>
    <x v="2"/>
    <x v="0"/>
    <x v="8"/>
    <x v="1"/>
  </r>
  <r>
    <s v="TX501450"/>
    <x v="1"/>
    <x v="3"/>
    <n v="71.3"/>
    <n v="499.09999999999997"/>
    <x v="54"/>
    <d v="2025-02-25T00:00:00"/>
    <x v="1"/>
    <x v="4"/>
    <x v="0"/>
    <x v="0"/>
    <x v="3"/>
    <x v="3"/>
    <x v="8"/>
    <x v="1"/>
  </r>
  <r>
    <s v="TX501451"/>
    <x v="10"/>
    <x v="0"/>
    <n v="25.8"/>
    <n v="25.8"/>
    <x v="54"/>
    <d v="2025-02-26T00:00:00"/>
    <x v="2"/>
    <x v="0"/>
    <x v="2"/>
    <x v="0"/>
    <x v="3"/>
    <x v="1"/>
    <x v="8"/>
    <x v="2"/>
  </r>
  <r>
    <s v="TX501452"/>
    <x v="8"/>
    <x v="9"/>
    <n v="39.6"/>
    <n v="198"/>
    <x v="54"/>
    <d v="2025-02-26T00:00:00"/>
    <x v="1"/>
    <x v="1"/>
    <x v="2"/>
    <x v="0"/>
    <x v="3"/>
    <x v="1"/>
    <x v="8"/>
    <x v="1"/>
  </r>
  <r>
    <s v="TX501453"/>
    <x v="5"/>
    <x v="1"/>
    <n v="64"/>
    <n v="128"/>
    <x v="54"/>
    <d v="2025-02-24T00:00:00"/>
    <x v="1"/>
    <x v="1"/>
    <x v="1"/>
    <x v="0"/>
    <x v="3"/>
    <x v="7"/>
    <x v="8"/>
    <x v="1"/>
  </r>
  <r>
    <s v="TX501454"/>
    <x v="8"/>
    <x v="1"/>
    <n v="30.6"/>
    <n v="61.2"/>
    <x v="54"/>
    <d v="2025-02-27T00:00:00"/>
    <x v="1"/>
    <x v="0"/>
    <x v="2"/>
    <x v="0"/>
    <x v="3"/>
    <x v="2"/>
    <x v="8"/>
    <x v="1"/>
  </r>
  <r>
    <s v="TX501455"/>
    <x v="8"/>
    <x v="1"/>
    <n v="21.3"/>
    <n v="42.6"/>
    <x v="54"/>
    <d v="2025-02-25T00:00:00"/>
    <x v="1"/>
    <x v="0"/>
    <x v="1"/>
    <x v="0"/>
    <x v="3"/>
    <x v="3"/>
    <x v="8"/>
    <x v="1"/>
  </r>
  <r>
    <s v="TX501456"/>
    <x v="7"/>
    <x v="0"/>
    <n v="40.799999999999997"/>
    <n v="40.799999999999997"/>
    <x v="54"/>
    <d v="2025-02-26T00:00:00"/>
    <x v="2"/>
    <x v="4"/>
    <x v="0"/>
    <x v="0"/>
    <x v="3"/>
    <x v="1"/>
    <x v="8"/>
    <x v="2"/>
  </r>
  <r>
    <s v="TX501457"/>
    <x v="9"/>
    <x v="12"/>
    <n v="27.7"/>
    <n v="110.8"/>
    <x v="54"/>
    <d v="2025-02-25T00:00:00"/>
    <x v="2"/>
    <x v="0"/>
    <x v="1"/>
    <x v="0"/>
    <x v="3"/>
    <x v="3"/>
    <x v="8"/>
    <x v="2"/>
  </r>
  <r>
    <s v="TX501458"/>
    <x v="6"/>
    <x v="1"/>
    <n v="64.599999999999994"/>
    <n v="129.19999999999999"/>
    <x v="54"/>
    <d v="2025-02-25T00:00:00"/>
    <x v="1"/>
    <x v="0"/>
    <x v="1"/>
    <x v="0"/>
    <x v="3"/>
    <x v="3"/>
    <x v="8"/>
    <x v="1"/>
  </r>
  <r>
    <s v="TX501459"/>
    <x v="6"/>
    <x v="27"/>
    <n v="91.1"/>
    <n v="1457.6"/>
    <x v="54"/>
    <d v="2025-02-25T00:00:00"/>
    <x v="2"/>
    <x v="1"/>
    <x v="2"/>
    <x v="0"/>
    <x v="3"/>
    <x v="3"/>
    <x v="8"/>
    <x v="2"/>
  </r>
  <r>
    <s v="TX501460"/>
    <x v="1"/>
    <x v="0"/>
    <n v="39.5"/>
    <n v="39.5"/>
    <x v="54"/>
    <d v="2025-03-04T00:00:00"/>
    <x v="2"/>
    <x v="0"/>
    <x v="0"/>
    <x v="0"/>
    <x v="3"/>
    <x v="9"/>
    <x v="8"/>
    <x v="2"/>
  </r>
  <r>
    <s v="TX501461"/>
    <x v="9"/>
    <x v="1"/>
    <n v="21.8"/>
    <n v="43.6"/>
    <x v="54"/>
    <d v="2025-02-28T00:00:00"/>
    <x v="1"/>
    <x v="4"/>
    <x v="2"/>
    <x v="0"/>
    <x v="3"/>
    <x v="5"/>
    <x v="8"/>
    <x v="1"/>
  </r>
  <r>
    <s v="TX501462"/>
    <x v="8"/>
    <x v="1"/>
    <n v="51"/>
    <n v="102"/>
    <x v="54"/>
    <d v="2025-02-27T00:00:00"/>
    <x v="1"/>
    <x v="3"/>
    <x v="2"/>
    <x v="0"/>
    <x v="3"/>
    <x v="2"/>
    <x v="8"/>
    <x v="1"/>
  </r>
  <r>
    <s v="TX501463"/>
    <x v="2"/>
    <x v="0"/>
    <n v="92.6"/>
    <n v="92.6"/>
    <x v="54"/>
    <d v="2025-02-27T00:00:00"/>
    <x v="2"/>
    <x v="0"/>
    <x v="2"/>
    <x v="0"/>
    <x v="35"/>
    <x v="2"/>
    <x v="8"/>
    <x v="2"/>
  </r>
  <r>
    <s v="TX501464"/>
    <x v="9"/>
    <x v="1"/>
    <n v="31.1"/>
    <n v="62.2"/>
    <x v="54"/>
    <d v="2025-03-01T00:00:00"/>
    <x v="0"/>
    <x v="1"/>
    <x v="3"/>
    <x v="0"/>
    <x v="23"/>
    <x v="0"/>
    <x v="8"/>
    <x v="0"/>
  </r>
  <r>
    <s v="TX501465"/>
    <x v="5"/>
    <x v="2"/>
    <n v="56.4"/>
    <n v="169.2"/>
    <x v="54"/>
    <d v="2025-02-25T00:00:00"/>
    <x v="0"/>
    <x v="1"/>
    <x v="0"/>
    <x v="0"/>
    <x v="6"/>
    <x v="3"/>
    <x v="8"/>
    <x v="0"/>
  </r>
  <r>
    <s v="TX501466"/>
    <x v="9"/>
    <x v="0"/>
    <n v="41.9"/>
    <n v="41.9"/>
    <x v="54"/>
    <d v="2025-02-24T00:00:00"/>
    <x v="1"/>
    <x v="1"/>
    <x v="0"/>
    <x v="0"/>
    <x v="6"/>
    <x v="7"/>
    <x v="8"/>
    <x v="1"/>
  </r>
  <r>
    <s v="TX501467"/>
    <x v="10"/>
    <x v="3"/>
    <n v="45.9"/>
    <n v="321.3"/>
    <x v="54"/>
    <d v="2025-02-25T00:00:00"/>
    <x v="1"/>
    <x v="3"/>
    <x v="2"/>
    <x v="0"/>
    <x v="8"/>
    <x v="3"/>
    <x v="8"/>
    <x v="1"/>
  </r>
  <r>
    <s v="TX501468"/>
    <x v="14"/>
    <x v="11"/>
    <n v="24.4"/>
    <n v="219.6"/>
    <x v="54"/>
    <d v="2025-02-28T00:00:00"/>
    <x v="1"/>
    <x v="3"/>
    <x v="2"/>
    <x v="0"/>
    <x v="8"/>
    <x v="5"/>
    <x v="8"/>
    <x v="1"/>
  </r>
  <r>
    <s v="TX501469"/>
    <x v="8"/>
    <x v="0"/>
    <n v="18.2"/>
    <n v="18.2"/>
    <x v="54"/>
    <d v="2025-02-25T00:00:00"/>
    <x v="2"/>
    <x v="2"/>
    <x v="2"/>
    <x v="0"/>
    <x v="8"/>
    <x v="3"/>
    <x v="8"/>
    <x v="2"/>
  </r>
  <r>
    <s v="TX501470"/>
    <x v="8"/>
    <x v="12"/>
    <n v="51.2"/>
    <n v="204.8"/>
    <x v="54"/>
    <d v="2025-02-25T00:00:00"/>
    <x v="2"/>
    <x v="0"/>
    <x v="0"/>
    <x v="0"/>
    <x v="8"/>
    <x v="3"/>
    <x v="8"/>
    <x v="2"/>
  </r>
  <r>
    <s v="TX501471"/>
    <x v="6"/>
    <x v="0"/>
    <n v="59.7"/>
    <n v="59.7"/>
    <x v="54"/>
    <d v="2025-02-27T00:00:00"/>
    <x v="1"/>
    <x v="0"/>
    <x v="2"/>
    <x v="0"/>
    <x v="8"/>
    <x v="2"/>
    <x v="8"/>
    <x v="1"/>
  </r>
  <r>
    <s v="TX501472"/>
    <x v="4"/>
    <x v="1"/>
    <n v="33.6"/>
    <n v="67.2"/>
    <x v="54"/>
    <d v="2025-02-26T00:00:00"/>
    <x v="2"/>
    <x v="0"/>
    <x v="0"/>
    <x v="0"/>
    <x v="17"/>
    <x v="1"/>
    <x v="8"/>
    <x v="2"/>
  </r>
  <r>
    <s v="TX501473"/>
    <x v="12"/>
    <x v="0"/>
    <n v="90.4"/>
    <n v="90.4"/>
    <x v="54"/>
    <d v="2025-02-28T00:00:00"/>
    <x v="1"/>
    <x v="1"/>
    <x v="2"/>
    <x v="0"/>
    <x v="10"/>
    <x v="5"/>
    <x v="8"/>
    <x v="1"/>
  </r>
  <r>
    <s v="TX501474"/>
    <x v="11"/>
    <x v="2"/>
    <n v="70.3"/>
    <n v="210.89999999999998"/>
    <x v="54"/>
    <d v="2025-02-24T00:00:00"/>
    <x v="1"/>
    <x v="1"/>
    <x v="2"/>
    <x v="0"/>
    <x v="11"/>
    <x v="7"/>
    <x v="8"/>
    <x v="1"/>
  </r>
  <r>
    <s v="TX501475"/>
    <x v="4"/>
    <x v="1"/>
    <n v="20.5"/>
    <n v="41"/>
    <x v="54"/>
    <d v="2025-02-27T00:00:00"/>
    <x v="2"/>
    <x v="0"/>
    <x v="1"/>
    <x v="0"/>
    <x v="11"/>
    <x v="2"/>
    <x v="8"/>
    <x v="2"/>
  </r>
  <r>
    <s v="TX501476"/>
    <x v="5"/>
    <x v="5"/>
    <n v="37.6"/>
    <n v="413.6"/>
    <x v="54"/>
    <d v="2025-02-25T00:00:00"/>
    <x v="1"/>
    <x v="0"/>
    <x v="0"/>
    <x v="0"/>
    <x v="38"/>
    <x v="3"/>
    <x v="8"/>
    <x v="1"/>
  </r>
  <r>
    <s v="TX501477"/>
    <x v="5"/>
    <x v="12"/>
    <n v="61.5"/>
    <n v="246"/>
    <x v="54"/>
    <d v="2025-03-03T00:00:00"/>
    <x v="2"/>
    <x v="1"/>
    <x v="4"/>
    <x v="0"/>
    <x v="13"/>
    <x v="6"/>
    <x v="8"/>
    <x v="2"/>
  </r>
  <r>
    <s v="TX501478"/>
    <x v="9"/>
    <x v="0"/>
    <n v="33.5"/>
    <n v="33.5"/>
    <x v="55"/>
    <d v="2025-03-01T00:00:00"/>
    <x v="1"/>
    <x v="4"/>
    <x v="1"/>
    <x v="0"/>
    <x v="21"/>
    <x v="5"/>
    <x v="8"/>
    <x v="1"/>
  </r>
  <r>
    <s v="TX501479"/>
    <x v="4"/>
    <x v="2"/>
    <n v="29.3"/>
    <n v="87.9"/>
    <x v="55"/>
    <d v="2025-02-27T00:00:00"/>
    <x v="2"/>
    <x v="1"/>
    <x v="2"/>
    <x v="0"/>
    <x v="1"/>
    <x v="1"/>
    <x v="8"/>
    <x v="2"/>
  </r>
  <r>
    <s v="TX501480"/>
    <x v="2"/>
    <x v="1"/>
    <n v="125.9"/>
    <n v="251.8"/>
    <x v="55"/>
    <d v="2025-03-02T00:00:00"/>
    <x v="2"/>
    <x v="4"/>
    <x v="1"/>
    <x v="0"/>
    <x v="1"/>
    <x v="0"/>
    <x v="8"/>
    <x v="2"/>
  </r>
  <r>
    <s v="TX501481"/>
    <x v="5"/>
    <x v="9"/>
    <n v="29.3"/>
    <n v="146.5"/>
    <x v="55"/>
    <d v="2025-02-25T00:00:00"/>
    <x v="1"/>
    <x v="2"/>
    <x v="0"/>
    <x v="0"/>
    <x v="44"/>
    <x v="7"/>
    <x v="8"/>
    <x v="1"/>
  </r>
  <r>
    <s v="TX501482"/>
    <x v="9"/>
    <x v="0"/>
    <n v="37.799999999999997"/>
    <n v="37.799999999999997"/>
    <x v="55"/>
    <d v="2025-02-28T00:00:00"/>
    <x v="2"/>
    <x v="0"/>
    <x v="2"/>
    <x v="0"/>
    <x v="3"/>
    <x v="2"/>
    <x v="8"/>
    <x v="2"/>
  </r>
  <r>
    <s v="TX501483"/>
    <x v="0"/>
    <x v="12"/>
    <n v="31.7"/>
    <n v="126.8"/>
    <x v="55"/>
    <d v="2025-02-26T00:00:00"/>
    <x v="1"/>
    <x v="2"/>
    <x v="2"/>
    <x v="0"/>
    <x v="3"/>
    <x v="3"/>
    <x v="8"/>
    <x v="1"/>
  </r>
  <r>
    <s v="TX501484"/>
    <x v="8"/>
    <x v="9"/>
    <n v="26.3"/>
    <n v="131.5"/>
    <x v="55"/>
    <d v="2025-02-26T00:00:00"/>
    <x v="2"/>
    <x v="3"/>
    <x v="2"/>
    <x v="0"/>
    <x v="3"/>
    <x v="3"/>
    <x v="8"/>
    <x v="2"/>
  </r>
  <r>
    <s v="TX501485"/>
    <x v="8"/>
    <x v="2"/>
    <n v="23.1"/>
    <n v="69.300000000000011"/>
    <x v="55"/>
    <d v="2025-02-26T00:00:00"/>
    <x v="3"/>
    <x v="2"/>
    <x v="1"/>
    <x v="0"/>
    <x v="3"/>
    <x v="3"/>
    <x v="8"/>
    <x v="3"/>
  </r>
  <r>
    <s v="TX501486"/>
    <x v="4"/>
    <x v="0"/>
    <n v="22.3"/>
    <n v="22.3"/>
    <x v="55"/>
    <d v="2025-02-27T00:00:00"/>
    <x v="2"/>
    <x v="2"/>
    <x v="0"/>
    <x v="0"/>
    <x v="3"/>
    <x v="1"/>
    <x v="8"/>
    <x v="2"/>
  </r>
  <r>
    <s v="TX501487"/>
    <x v="12"/>
    <x v="1"/>
    <n v="99.5"/>
    <n v="199"/>
    <x v="55"/>
    <d v="2025-02-27T00:00:00"/>
    <x v="2"/>
    <x v="2"/>
    <x v="0"/>
    <x v="0"/>
    <x v="3"/>
    <x v="1"/>
    <x v="8"/>
    <x v="2"/>
  </r>
  <r>
    <s v="TX501488"/>
    <x v="12"/>
    <x v="12"/>
    <n v="47.4"/>
    <n v="189.6"/>
    <x v="55"/>
    <d v="2025-02-28T00:00:00"/>
    <x v="2"/>
    <x v="1"/>
    <x v="0"/>
    <x v="0"/>
    <x v="3"/>
    <x v="2"/>
    <x v="8"/>
    <x v="2"/>
  </r>
  <r>
    <s v="TX501489"/>
    <x v="0"/>
    <x v="5"/>
    <n v="37.5"/>
    <n v="412.5"/>
    <x v="55"/>
    <d v="2025-02-27T00:00:00"/>
    <x v="2"/>
    <x v="0"/>
    <x v="3"/>
    <x v="0"/>
    <x v="3"/>
    <x v="1"/>
    <x v="8"/>
    <x v="2"/>
  </r>
  <r>
    <s v="TX501490"/>
    <x v="10"/>
    <x v="0"/>
    <n v="45.1"/>
    <n v="45.1"/>
    <x v="55"/>
    <d v="2025-03-02T00:00:00"/>
    <x v="1"/>
    <x v="3"/>
    <x v="2"/>
    <x v="0"/>
    <x v="24"/>
    <x v="0"/>
    <x v="8"/>
    <x v="1"/>
  </r>
  <r>
    <s v="TX501491"/>
    <x v="5"/>
    <x v="7"/>
    <n v="34.4"/>
    <n v="344"/>
    <x v="55"/>
    <d v="2025-02-28T00:00:00"/>
    <x v="1"/>
    <x v="2"/>
    <x v="0"/>
    <x v="0"/>
    <x v="16"/>
    <x v="2"/>
    <x v="8"/>
    <x v="1"/>
  </r>
  <r>
    <s v="TX501492"/>
    <x v="4"/>
    <x v="1"/>
    <n v="38"/>
    <n v="76"/>
    <x v="55"/>
    <d v="2025-02-27T00:00:00"/>
    <x v="2"/>
    <x v="1"/>
    <x v="0"/>
    <x v="0"/>
    <x v="5"/>
    <x v="1"/>
    <x v="8"/>
    <x v="2"/>
  </r>
  <r>
    <s v="TX501493"/>
    <x v="3"/>
    <x v="21"/>
    <n v="32.4"/>
    <n v="453.59999999999997"/>
    <x v="55"/>
    <d v="2025-02-28T00:00:00"/>
    <x v="1"/>
    <x v="4"/>
    <x v="0"/>
    <x v="0"/>
    <x v="6"/>
    <x v="2"/>
    <x v="8"/>
    <x v="1"/>
  </r>
  <r>
    <s v="TX501494"/>
    <x v="6"/>
    <x v="2"/>
    <n v="40.9"/>
    <n v="122.69999999999999"/>
    <x v="55"/>
    <d v="2025-02-25T00:00:00"/>
    <x v="0"/>
    <x v="1"/>
    <x v="0"/>
    <x v="0"/>
    <x v="8"/>
    <x v="7"/>
    <x v="8"/>
    <x v="0"/>
  </r>
  <r>
    <s v="TX501495"/>
    <x v="7"/>
    <x v="3"/>
    <n v="76.2"/>
    <n v="533.4"/>
    <x v="55"/>
    <d v="2025-02-27T00:00:00"/>
    <x v="2"/>
    <x v="2"/>
    <x v="1"/>
    <x v="0"/>
    <x v="8"/>
    <x v="1"/>
    <x v="8"/>
    <x v="2"/>
  </r>
  <r>
    <s v="TX501496"/>
    <x v="2"/>
    <x v="0"/>
    <n v="85.6"/>
    <n v="85.6"/>
    <x v="55"/>
    <d v="2025-02-27T00:00:00"/>
    <x v="1"/>
    <x v="2"/>
    <x v="0"/>
    <x v="0"/>
    <x v="8"/>
    <x v="1"/>
    <x v="8"/>
    <x v="1"/>
  </r>
  <r>
    <s v="TX501497"/>
    <x v="4"/>
    <x v="12"/>
    <n v="25"/>
    <n v="100"/>
    <x v="55"/>
    <d v="2025-02-27T00:00:00"/>
    <x v="2"/>
    <x v="2"/>
    <x v="2"/>
    <x v="0"/>
    <x v="8"/>
    <x v="1"/>
    <x v="8"/>
    <x v="2"/>
  </r>
  <r>
    <s v="TX501498"/>
    <x v="2"/>
    <x v="9"/>
    <n v="150.69999999999999"/>
    <n v="753.5"/>
    <x v="55"/>
    <d v="2025-02-26T00:00:00"/>
    <x v="0"/>
    <x v="0"/>
    <x v="2"/>
    <x v="0"/>
    <x v="8"/>
    <x v="3"/>
    <x v="8"/>
    <x v="0"/>
  </r>
  <r>
    <s v="TX501499"/>
    <x v="8"/>
    <x v="0"/>
    <n v="19.600000000000001"/>
    <n v="19.600000000000001"/>
    <x v="55"/>
    <d v="2025-02-26T00:00:00"/>
    <x v="1"/>
    <x v="1"/>
    <x v="4"/>
    <x v="0"/>
    <x v="8"/>
    <x v="3"/>
    <x v="8"/>
    <x v="1"/>
  </r>
  <r>
    <s v="TX501500"/>
    <x v="13"/>
    <x v="1"/>
    <n v="37.5"/>
    <n v="75"/>
    <x v="55"/>
    <d v="2025-02-28T00:00:00"/>
    <x v="2"/>
    <x v="1"/>
    <x v="2"/>
    <x v="0"/>
    <x v="17"/>
    <x v="2"/>
    <x v="8"/>
    <x v="2"/>
  </r>
  <r>
    <s v="TX501501"/>
    <x v="9"/>
    <x v="2"/>
    <n v="51.9"/>
    <n v="155.69999999999999"/>
    <x v="55"/>
    <d v="2025-03-03T00:00:00"/>
    <x v="2"/>
    <x v="0"/>
    <x v="4"/>
    <x v="0"/>
    <x v="11"/>
    <x v="4"/>
    <x v="8"/>
    <x v="2"/>
  </r>
  <r>
    <s v="TX501502"/>
    <x v="1"/>
    <x v="1"/>
    <n v="30.9"/>
    <n v="61.8"/>
    <x v="55"/>
    <d v="2025-02-27T00:00:00"/>
    <x v="2"/>
    <x v="1"/>
    <x v="0"/>
    <x v="0"/>
    <x v="18"/>
    <x v="1"/>
    <x v="8"/>
    <x v="2"/>
  </r>
  <r>
    <s v="TX501503"/>
    <x v="4"/>
    <x v="2"/>
    <n v="21.2"/>
    <n v="63.599999999999994"/>
    <x v="55"/>
    <d v="2025-02-28T00:00:00"/>
    <x v="2"/>
    <x v="1"/>
    <x v="0"/>
    <x v="0"/>
    <x v="19"/>
    <x v="2"/>
    <x v="8"/>
    <x v="2"/>
  </r>
  <r>
    <s v="TX501504"/>
    <x v="13"/>
    <x v="14"/>
    <n v="17.5"/>
    <n v="297.5"/>
    <x v="55"/>
    <d v="2025-02-26T00:00:00"/>
    <x v="1"/>
    <x v="1"/>
    <x v="1"/>
    <x v="0"/>
    <x v="13"/>
    <x v="3"/>
    <x v="8"/>
    <x v="1"/>
  </r>
  <r>
    <s v="TX501505"/>
    <x v="12"/>
    <x v="1"/>
    <n v="53.8"/>
    <n v="107.6"/>
    <x v="55"/>
    <d v="2025-03-02T00:00:00"/>
    <x v="2"/>
    <x v="0"/>
    <x v="2"/>
    <x v="0"/>
    <x v="21"/>
    <x v="0"/>
    <x v="8"/>
    <x v="2"/>
  </r>
  <r>
    <s v="TX501506"/>
    <x v="19"/>
    <x v="1"/>
    <n v="17"/>
    <n v="34"/>
    <x v="55"/>
    <d v="2025-02-26T00:00:00"/>
    <x v="1"/>
    <x v="3"/>
    <x v="0"/>
    <x v="0"/>
    <x v="21"/>
    <x v="3"/>
    <x v="8"/>
    <x v="1"/>
  </r>
  <r>
    <s v="TX501507"/>
    <x v="6"/>
    <x v="0"/>
    <n v="103.2"/>
    <n v="103.2"/>
    <x v="55"/>
    <d v="2025-03-05T00:00:00"/>
    <x v="1"/>
    <x v="2"/>
    <x v="1"/>
    <x v="0"/>
    <x v="1"/>
    <x v="9"/>
    <x v="8"/>
    <x v="1"/>
  </r>
  <r>
    <s v="TX501508"/>
    <x v="6"/>
    <x v="12"/>
    <n v="70.3"/>
    <n v="281.2"/>
    <x v="55"/>
    <d v="2025-02-26T00:00:00"/>
    <x v="1"/>
    <x v="0"/>
    <x v="0"/>
    <x v="0"/>
    <x v="3"/>
    <x v="3"/>
    <x v="8"/>
    <x v="1"/>
  </r>
  <r>
    <s v="TX501509"/>
    <x v="2"/>
    <x v="1"/>
    <n v="73.8"/>
    <n v="147.6"/>
    <x v="55"/>
    <d v="2025-02-25T00:00:00"/>
    <x v="1"/>
    <x v="3"/>
    <x v="2"/>
    <x v="0"/>
    <x v="3"/>
    <x v="7"/>
    <x v="8"/>
    <x v="1"/>
  </r>
  <r>
    <s v="TX501510"/>
    <x v="1"/>
    <x v="4"/>
    <n v="67.7"/>
    <n v="812.40000000000009"/>
    <x v="55"/>
    <d v="2025-03-01T00:00:00"/>
    <x v="1"/>
    <x v="1"/>
    <x v="1"/>
    <x v="0"/>
    <x v="3"/>
    <x v="5"/>
    <x v="8"/>
    <x v="1"/>
  </r>
  <r>
    <s v="TX501511"/>
    <x v="13"/>
    <x v="3"/>
    <n v="43.8"/>
    <n v="306.59999999999997"/>
    <x v="55"/>
    <d v="2025-02-27T00:00:00"/>
    <x v="1"/>
    <x v="1"/>
    <x v="0"/>
    <x v="0"/>
    <x v="3"/>
    <x v="1"/>
    <x v="8"/>
    <x v="1"/>
  </r>
  <r>
    <s v="TX501512"/>
    <x v="17"/>
    <x v="13"/>
    <n v="71.900000000000006"/>
    <n v="431.40000000000003"/>
    <x v="55"/>
    <d v="2025-02-26T00:00:00"/>
    <x v="2"/>
    <x v="2"/>
    <x v="0"/>
    <x v="0"/>
    <x v="3"/>
    <x v="3"/>
    <x v="8"/>
    <x v="2"/>
  </r>
  <r>
    <s v="TX501513"/>
    <x v="8"/>
    <x v="1"/>
    <n v="26.3"/>
    <n v="52.6"/>
    <x v="56"/>
    <d v="2025-02-28T00:00:00"/>
    <x v="2"/>
    <x v="0"/>
    <x v="1"/>
    <x v="0"/>
    <x v="3"/>
    <x v="1"/>
    <x v="8"/>
    <x v="2"/>
  </r>
  <r>
    <s v="TX501514"/>
    <x v="6"/>
    <x v="12"/>
    <n v="52.6"/>
    <n v="210.4"/>
    <x v="56"/>
    <d v="2025-02-28T00:00:00"/>
    <x v="2"/>
    <x v="2"/>
    <x v="1"/>
    <x v="0"/>
    <x v="3"/>
    <x v="1"/>
    <x v="8"/>
    <x v="2"/>
  </r>
  <r>
    <s v="TX501515"/>
    <x v="10"/>
    <x v="0"/>
    <n v="32.700000000000003"/>
    <n v="32.700000000000003"/>
    <x v="56"/>
    <d v="2025-03-05T00:00:00"/>
    <x v="2"/>
    <x v="0"/>
    <x v="2"/>
    <x v="0"/>
    <x v="3"/>
    <x v="6"/>
    <x v="8"/>
    <x v="2"/>
  </r>
  <r>
    <s v="TX501516"/>
    <x v="5"/>
    <x v="12"/>
    <n v="38.9"/>
    <n v="155.6"/>
    <x v="56"/>
    <d v="2025-02-27T00:00:00"/>
    <x v="2"/>
    <x v="0"/>
    <x v="0"/>
    <x v="0"/>
    <x v="3"/>
    <x v="3"/>
    <x v="8"/>
    <x v="2"/>
  </r>
  <r>
    <s v="TX501517"/>
    <x v="9"/>
    <x v="9"/>
    <n v="35"/>
    <n v="175"/>
    <x v="56"/>
    <d v="2025-02-28T00:00:00"/>
    <x v="1"/>
    <x v="0"/>
    <x v="0"/>
    <x v="0"/>
    <x v="3"/>
    <x v="1"/>
    <x v="8"/>
    <x v="1"/>
  </r>
  <r>
    <s v="TX501518"/>
    <x v="2"/>
    <x v="1"/>
    <n v="121"/>
    <n v="242"/>
    <x v="56"/>
    <d v="2025-02-27T00:00:00"/>
    <x v="2"/>
    <x v="1"/>
    <x v="1"/>
    <x v="0"/>
    <x v="3"/>
    <x v="3"/>
    <x v="8"/>
    <x v="2"/>
  </r>
  <r>
    <s v="TX501519"/>
    <x v="6"/>
    <x v="2"/>
    <n v="65.099999999999994"/>
    <n v="195.29999999999998"/>
    <x v="56"/>
    <d v="2025-03-02T00:00:00"/>
    <x v="1"/>
    <x v="2"/>
    <x v="0"/>
    <x v="0"/>
    <x v="36"/>
    <x v="5"/>
    <x v="8"/>
    <x v="1"/>
  </r>
  <r>
    <s v="TX501520"/>
    <x v="1"/>
    <x v="38"/>
    <n v="63.8"/>
    <n v="1339.8"/>
    <x v="56"/>
    <d v="2025-02-28T00:00:00"/>
    <x v="2"/>
    <x v="0"/>
    <x v="0"/>
    <x v="0"/>
    <x v="8"/>
    <x v="1"/>
    <x v="8"/>
    <x v="2"/>
  </r>
  <r>
    <s v="TX501521"/>
    <x v="7"/>
    <x v="0"/>
    <n v="77.7"/>
    <n v="77.7"/>
    <x v="56"/>
    <d v="2025-02-28T00:00:00"/>
    <x v="1"/>
    <x v="0"/>
    <x v="0"/>
    <x v="0"/>
    <x v="8"/>
    <x v="1"/>
    <x v="8"/>
    <x v="1"/>
  </r>
  <r>
    <s v="TX501522"/>
    <x v="5"/>
    <x v="12"/>
    <n v="60.3"/>
    <n v="241.2"/>
    <x v="56"/>
    <d v="2025-02-26T00:00:00"/>
    <x v="1"/>
    <x v="0"/>
    <x v="2"/>
    <x v="0"/>
    <x v="8"/>
    <x v="7"/>
    <x v="8"/>
    <x v="1"/>
  </r>
  <r>
    <s v="TX501523"/>
    <x v="5"/>
    <x v="1"/>
    <n v="124.1"/>
    <n v="248.2"/>
    <x v="56"/>
    <d v="2025-03-01T00:00:00"/>
    <x v="2"/>
    <x v="0"/>
    <x v="2"/>
    <x v="0"/>
    <x v="8"/>
    <x v="2"/>
    <x v="8"/>
    <x v="2"/>
  </r>
  <r>
    <s v="TX501524"/>
    <x v="16"/>
    <x v="3"/>
    <n v="66"/>
    <n v="462"/>
    <x v="56"/>
    <d v="2025-02-26T00:00:00"/>
    <x v="0"/>
    <x v="3"/>
    <x v="0"/>
    <x v="0"/>
    <x v="17"/>
    <x v="7"/>
    <x v="8"/>
    <x v="0"/>
  </r>
  <r>
    <s v="TX501525"/>
    <x v="2"/>
    <x v="42"/>
    <n v="118.2"/>
    <n v="7446.6"/>
    <x v="56"/>
    <d v="2025-03-03T00:00:00"/>
    <x v="0"/>
    <x v="0"/>
    <x v="0"/>
    <x v="0"/>
    <x v="17"/>
    <x v="0"/>
    <x v="8"/>
    <x v="0"/>
  </r>
  <r>
    <s v="TX501526"/>
    <x v="5"/>
    <x v="9"/>
    <n v="64.3"/>
    <n v="321.5"/>
    <x v="56"/>
    <d v="2025-02-27T00:00:00"/>
    <x v="1"/>
    <x v="4"/>
    <x v="4"/>
    <x v="0"/>
    <x v="26"/>
    <x v="3"/>
    <x v="8"/>
    <x v="1"/>
  </r>
  <r>
    <s v="TX501527"/>
    <x v="1"/>
    <x v="1"/>
    <n v="54.8"/>
    <n v="109.6"/>
    <x v="56"/>
    <d v="2025-02-26T00:00:00"/>
    <x v="1"/>
    <x v="0"/>
    <x v="1"/>
    <x v="0"/>
    <x v="26"/>
    <x v="7"/>
    <x v="8"/>
    <x v="1"/>
  </r>
  <r>
    <s v="TX501528"/>
    <x v="7"/>
    <x v="1"/>
    <n v="78.599999999999994"/>
    <n v="157.19999999999999"/>
    <x v="56"/>
    <d v="2025-02-27T00:00:00"/>
    <x v="1"/>
    <x v="0"/>
    <x v="2"/>
    <x v="0"/>
    <x v="9"/>
    <x v="3"/>
    <x v="8"/>
    <x v="1"/>
  </r>
  <r>
    <s v="TX501529"/>
    <x v="2"/>
    <x v="9"/>
    <n v="158.5"/>
    <n v="792.5"/>
    <x v="56"/>
    <d v="2025-02-28T00:00:00"/>
    <x v="0"/>
    <x v="2"/>
    <x v="2"/>
    <x v="0"/>
    <x v="9"/>
    <x v="1"/>
    <x v="8"/>
    <x v="0"/>
  </r>
  <r>
    <s v="TX501530"/>
    <x v="4"/>
    <x v="7"/>
    <n v="23.5"/>
    <n v="235"/>
    <x v="56"/>
    <d v="2025-03-01T00:00:00"/>
    <x v="1"/>
    <x v="0"/>
    <x v="4"/>
    <x v="0"/>
    <x v="10"/>
    <x v="2"/>
    <x v="8"/>
    <x v="1"/>
  </r>
  <r>
    <s v="TX501531"/>
    <x v="5"/>
    <x v="1"/>
    <n v="32.1"/>
    <n v="64.2"/>
    <x v="56"/>
    <d v="2025-02-28T00:00:00"/>
    <x v="0"/>
    <x v="3"/>
    <x v="0"/>
    <x v="0"/>
    <x v="10"/>
    <x v="1"/>
    <x v="8"/>
    <x v="0"/>
  </r>
  <r>
    <s v="TX501532"/>
    <x v="17"/>
    <x v="12"/>
    <n v="71.900000000000006"/>
    <n v="287.60000000000002"/>
    <x v="56"/>
    <d v="2025-02-26T00:00:00"/>
    <x v="1"/>
    <x v="2"/>
    <x v="0"/>
    <x v="0"/>
    <x v="19"/>
    <x v="7"/>
    <x v="8"/>
    <x v="1"/>
  </r>
  <r>
    <s v="TX501533"/>
    <x v="4"/>
    <x v="13"/>
    <n v="22.3"/>
    <n v="133.80000000000001"/>
    <x v="56"/>
    <d v="2025-02-27T00:00:00"/>
    <x v="0"/>
    <x v="3"/>
    <x v="2"/>
    <x v="0"/>
    <x v="13"/>
    <x v="3"/>
    <x v="8"/>
    <x v="0"/>
  </r>
  <r>
    <s v="TX501534"/>
    <x v="11"/>
    <x v="1"/>
    <n v="29.5"/>
    <n v="59"/>
    <x v="56"/>
    <d v="2025-02-27T00:00:00"/>
    <x v="2"/>
    <x v="0"/>
    <x v="2"/>
    <x v="0"/>
    <x v="13"/>
    <x v="3"/>
    <x v="8"/>
    <x v="2"/>
  </r>
  <r>
    <s v="TX501535"/>
    <x v="6"/>
    <x v="12"/>
    <n v="41.9"/>
    <n v="167.6"/>
    <x v="56"/>
    <d v="2025-03-02T00:00:00"/>
    <x v="2"/>
    <x v="0"/>
    <x v="1"/>
    <x v="0"/>
    <x v="21"/>
    <x v="5"/>
    <x v="8"/>
    <x v="2"/>
  </r>
  <r>
    <s v="TX501536"/>
    <x v="6"/>
    <x v="2"/>
    <n v="107.8"/>
    <n v="323.39999999999998"/>
    <x v="56"/>
    <d v="2025-02-27T00:00:00"/>
    <x v="1"/>
    <x v="1"/>
    <x v="2"/>
    <x v="0"/>
    <x v="46"/>
    <x v="3"/>
    <x v="8"/>
    <x v="1"/>
  </r>
  <r>
    <s v="TX501537"/>
    <x v="4"/>
    <x v="9"/>
    <n v="18.100000000000001"/>
    <n v="90.5"/>
    <x v="56"/>
    <d v="2025-03-01T00:00:00"/>
    <x v="1"/>
    <x v="0"/>
    <x v="2"/>
    <x v="0"/>
    <x v="2"/>
    <x v="2"/>
    <x v="8"/>
    <x v="1"/>
  </r>
  <r>
    <s v="TX501538"/>
    <x v="12"/>
    <x v="11"/>
    <n v="79.8"/>
    <n v="718.19999999999993"/>
    <x v="56"/>
    <d v="2025-02-27T00:00:00"/>
    <x v="2"/>
    <x v="1"/>
    <x v="1"/>
    <x v="0"/>
    <x v="22"/>
    <x v="3"/>
    <x v="8"/>
    <x v="2"/>
  </r>
  <r>
    <s v="TX501539"/>
    <x v="0"/>
    <x v="2"/>
    <n v="22.3"/>
    <n v="66.900000000000006"/>
    <x v="56"/>
    <d v="2025-03-01T00:00:00"/>
    <x v="2"/>
    <x v="0"/>
    <x v="2"/>
    <x v="0"/>
    <x v="22"/>
    <x v="2"/>
    <x v="8"/>
    <x v="2"/>
  </r>
  <r>
    <s v="TX501540"/>
    <x v="8"/>
    <x v="0"/>
    <n v="22.9"/>
    <n v="22.9"/>
    <x v="56"/>
    <d v="2025-02-26T00:00:00"/>
    <x v="2"/>
    <x v="1"/>
    <x v="0"/>
    <x v="0"/>
    <x v="22"/>
    <x v="7"/>
    <x v="8"/>
    <x v="2"/>
  </r>
  <r>
    <s v="TX501541"/>
    <x v="0"/>
    <x v="2"/>
    <n v="16.2"/>
    <n v="48.599999999999994"/>
    <x v="57"/>
    <d v="2025-02-27T00:00:00"/>
    <x v="1"/>
    <x v="4"/>
    <x v="2"/>
    <x v="0"/>
    <x v="3"/>
    <x v="7"/>
    <x v="8"/>
    <x v="1"/>
  </r>
  <r>
    <s v="TX501542"/>
    <x v="10"/>
    <x v="12"/>
    <n v="59.5"/>
    <n v="238"/>
    <x v="57"/>
    <d v="2025-02-28T00:00:00"/>
    <x v="1"/>
    <x v="1"/>
    <x v="2"/>
    <x v="0"/>
    <x v="3"/>
    <x v="3"/>
    <x v="8"/>
    <x v="1"/>
  </r>
  <r>
    <s v="TX501543"/>
    <x v="18"/>
    <x v="9"/>
    <n v="26.2"/>
    <n v="131"/>
    <x v="57"/>
    <d v="2025-03-02T00:00:00"/>
    <x v="1"/>
    <x v="3"/>
    <x v="4"/>
    <x v="0"/>
    <x v="3"/>
    <x v="2"/>
    <x v="8"/>
    <x v="1"/>
  </r>
  <r>
    <s v="TX501544"/>
    <x v="3"/>
    <x v="0"/>
    <n v="44.2"/>
    <n v="44.2"/>
    <x v="57"/>
    <d v="2025-03-02T00:00:00"/>
    <x v="2"/>
    <x v="1"/>
    <x v="0"/>
    <x v="0"/>
    <x v="3"/>
    <x v="2"/>
    <x v="8"/>
    <x v="2"/>
  </r>
  <r>
    <s v="TX501545"/>
    <x v="9"/>
    <x v="1"/>
    <n v="59.2"/>
    <n v="118.4"/>
    <x v="57"/>
    <d v="2025-02-27T00:00:00"/>
    <x v="2"/>
    <x v="1"/>
    <x v="4"/>
    <x v="0"/>
    <x v="3"/>
    <x v="7"/>
    <x v="8"/>
    <x v="2"/>
  </r>
  <r>
    <s v="TX501546"/>
    <x v="15"/>
    <x v="12"/>
    <n v="41.5"/>
    <n v="166"/>
    <x v="57"/>
    <d v="2025-03-01T00:00:00"/>
    <x v="2"/>
    <x v="0"/>
    <x v="0"/>
    <x v="0"/>
    <x v="16"/>
    <x v="1"/>
    <x v="8"/>
    <x v="2"/>
  </r>
  <r>
    <s v="TX501547"/>
    <x v="6"/>
    <x v="4"/>
    <n v="67.099999999999994"/>
    <n v="805.19999999999993"/>
    <x v="57"/>
    <d v="2025-03-13T00:00:00"/>
    <x v="2"/>
    <x v="0"/>
    <x v="2"/>
    <x v="0"/>
    <x v="23"/>
    <x v="12"/>
    <x v="8"/>
    <x v="2"/>
  </r>
  <r>
    <s v="TX501548"/>
    <x v="8"/>
    <x v="1"/>
    <n v="28.7"/>
    <n v="57.4"/>
    <x v="57"/>
    <d v="2025-03-03T00:00:00"/>
    <x v="2"/>
    <x v="1"/>
    <x v="0"/>
    <x v="0"/>
    <x v="6"/>
    <x v="5"/>
    <x v="8"/>
    <x v="2"/>
  </r>
  <r>
    <s v="TX501549"/>
    <x v="2"/>
    <x v="12"/>
    <n v="132.1"/>
    <n v="528.4"/>
    <x v="57"/>
    <d v="2025-02-28T00:00:00"/>
    <x v="2"/>
    <x v="0"/>
    <x v="1"/>
    <x v="0"/>
    <x v="6"/>
    <x v="3"/>
    <x v="8"/>
    <x v="2"/>
  </r>
  <r>
    <s v="TX501550"/>
    <x v="18"/>
    <x v="1"/>
    <n v="47"/>
    <n v="94"/>
    <x v="57"/>
    <d v="2025-03-01T00:00:00"/>
    <x v="1"/>
    <x v="4"/>
    <x v="0"/>
    <x v="0"/>
    <x v="8"/>
    <x v="1"/>
    <x v="8"/>
    <x v="1"/>
  </r>
  <r>
    <s v="TX501551"/>
    <x v="8"/>
    <x v="1"/>
    <n v="41.6"/>
    <n v="83.2"/>
    <x v="57"/>
    <d v="2025-03-03T00:00:00"/>
    <x v="1"/>
    <x v="1"/>
    <x v="2"/>
    <x v="0"/>
    <x v="8"/>
    <x v="5"/>
    <x v="8"/>
    <x v="1"/>
  </r>
  <r>
    <s v="TX501552"/>
    <x v="8"/>
    <x v="43"/>
    <n v="17.3"/>
    <n v="657.4"/>
    <x v="57"/>
    <d v="2025-03-01T00:00:00"/>
    <x v="1"/>
    <x v="2"/>
    <x v="2"/>
    <x v="0"/>
    <x v="8"/>
    <x v="1"/>
    <x v="8"/>
    <x v="1"/>
  </r>
  <r>
    <s v="TX501553"/>
    <x v="13"/>
    <x v="2"/>
    <n v="41.8"/>
    <n v="125.39999999999999"/>
    <x v="57"/>
    <d v="2025-03-02T00:00:00"/>
    <x v="1"/>
    <x v="0"/>
    <x v="2"/>
    <x v="0"/>
    <x v="8"/>
    <x v="2"/>
    <x v="8"/>
    <x v="1"/>
  </r>
  <r>
    <s v="TX501554"/>
    <x v="10"/>
    <x v="0"/>
    <n v="24"/>
    <n v="24"/>
    <x v="57"/>
    <d v="2025-02-28T00:00:00"/>
    <x v="2"/>
    <x v="0"/>
    <x v="0"/>
    <x v="0"/>
    <x v="17"/>
    <x v="3"/>
    <x v="8"/>
    <x v="2"/>
  </r>
  <r>
    <s v="TX501555"/>
    <x v="14"/>
    <x v="11"/>
    <n v="18.5"/>
    <n v="166.5"/>
    <x v="57"/>
    <d v="2025-03-01T00:00:00"/>
    <x v="2"/>
    <x v="0"/>
    <x v="0"/>
    <x v="0"/>
    <x v="9"/>
    <x v="1"/>
    <x v="8"/>
    <x v="2"/>
  </r>
  <r>
    <s v="TX501556"/>
    <x v="3"/>
    <x v="4"/>
    <n v="66.7"/>
    <n v="800.40000000000009"/>
    <x v="57"/>
    <d v="2025-03-02T00:00:00"/>
    <x v="0"/>
    <x v="0"/>
    <x v="2"/>
    <x v="0"/>
    <x v="11"/>
    <x v="2"/>
    <x v="8"/>
    <x v="0"/>
  </r>
  <r>
    <s v="TX501557"/>
    <x v="1"/>
    <x v="12"/>
    <n v="33.1"/>
    <n v="132.4"/>
    <x v="57"/>
    <d v="2025-03-04T00:00:00"/>
    <x v="1"/>
    <x v="3"/>
    <x v="0"/>
    <x v="0"/>
    <x v="11"/>
    <x v="0"/>
    <x v="8"/>
    <x v="1"/>
  </r>
  <r>
    <s v="TX501558"/>
    <x v="19"/>
    <x v="11"/>
    <n v="42.1"/>
    <n v="378.90000000000003"/>
    <x v="57"/>
    <d v="2025-03-10T00:00:00"/>
    <x v="1"/>
    <x v="1"/>
    <x v="0"/>
    <x v="0"/>
    <x v="18"/>
    <x v="11"/>
    <x v="8"/>
    <x v="1"/>
  </r>
  <r>
    <s v="TX501559"/>
    <x v="18"/>
    <x v="3"/>
    <n v="58.7"/>
    <n v="410.90000000000003"/>
    <x v="57"/>
    <d v="2025-02-27T00:00:00"/>
    <x v="3"/>
    <x v="3"/>
    <x v="0"/>
    <x v="0"/>
    <x v="31"/>
    <x v="7"/>
    <x v="8"/>
    <x v="3"/>
  </r>
  <r>
    <s v="TX501560"/>
    <x v="6"/>
    <x v="12"/>
    <n v="54"/>
    <n v="216"/>
    <x v="57"/>
    <d v="2025-03-01T00:00:00"/>
    <x v="2"/>
    <x v="1"/>
    <x v="0"/>
    <x v="0"/>
    <x v="1"/>
    <x v="1"/>
    <x v="8"/>
    <x v="2"/>
  </r>
  <r>
    <s v="TX501561"/>
    <x v="8"/>
    <x v="0"/>
    <n v="52.1"/>
    <n v="52.1"/>
    <x v="57"/>
    <d v="2025-02-28T00:00:00"/>
    <x v="2"/>
    <x v="2"/>
    <x v="2"/>
    <x v="0"/>
    <x v="2"/>
    <x v="3"/>
    <x v="8"/>
    <x v="2"/>
  </r>
  <r>
    <s v="TX501562"/>
    <x v="19"/>
    <x v="1"/>
    <n v="27"/>
    <n v="54"/>
    <x v="57"/>
    <d v="2025-03-02T00:00:00"/>
    <x v="3"/>
    <x v="2"/>
    <x v="0"/>
    <x v="0"/>
    <x v="22"/>
    <x v="2"/>
    <x v="8"/>
    <x v="3"/>
  </r>
  <r>
    <s v="TX501563"/>
    <x v="12"/>
    <x v="7"/>
    <n v="31"/>
    <n v="310"/>
    <x v="58"/>
    <d v="2025-03-01T00:00:00"/>
    <x v="2"/>
    <x v="3"/>
    <x v="2"/>
    <x v="0"/>
    <x v="22"/>
    <x v="3"/>
    <x v="8"/>
    <x v="2"/>
  </r>
  <r>
    <s v="TX501564"/>
    <x v="10"/>
    <x v="1"/>
    <n v="46.7"/>
    <n v="93.4"/>
    <x v="58"/>
    <d v="2025-02-28T00:00:00"/>
    <x v="2"/>
    <x v="0"/>
    <x v="0"/>
    <x v="0"/>
    <x v="34"/>
    <x v="7"/>
    <x v="8"/>
    <x v="2"/>
  </r>
  <r>
    <s v="TX501565"/>
    <x v="6"/>
    <x v="0"/>
    <n v="144.69999999999999"/>
    <n v="144.69999999999999"/>
    <x v="58"/>
    <d v="2025-03-03T00:00:00"/>
    <x v="1"/>
    <x v="0"/>
    <x v="2"/>
    <x v="0"/>
    <x v="3"/>
    <x v="2"/>
    <x v="8"/>
    <x v="1"/>
  </r>
  <r>
    <s v="TX501566"/>
    <x v="2"/>
    <x v="11"/>
    <n v="90.9"/>
    <n v="818.1"/>
    <x v="58"/>
    <d v="2025-03-01T00:00:00"/>
    <x v="1"/>
    <x v="0"/>
    <x v="2"/>
    <x v="0"/>
    <x v="3"/>
    <x v="3"/>
    <x v="8"/>
    <x v="1"/>
  </r>
  <r>
    <s v="TX501567"/>
    <x v="1"/>
    <x v="1"/>
    <n v="75.8"/>
    <n v="151.6"/>
    <x v="58"/>
    <d v="2025-03-01T00:00:00"/>
    <x v="2"/>
    <x v="2"/>
    <x v="1"/>
    <x v="0"/>
    <x v="3"/>
    <x v="3"/>
    <x v="8"/>
    <x v="2"/>
  </r>
  <r>
    <s v="TX501568"/>
    <x v="7"/>
    <x v="9"/>
    <n v="57.9"/>
    <n v="289.5"/>
    <x v="58"/>
    <d v="2025-03-02T00:00:00"/>
    <x v="1"/>
    <x v="2"/>
    <x v="2"/>
    <x v="0"/>
    <x v="3"/>
    <x v="1"/>
    <x v="8"/>
    <x v="1"/>
  </r>
  <r>
    <s v="TX501569"/>
    <x v="8"/>
    <x v="9"/>
    <n v="44.8"/>
    <n v="224"/>
    <x v="58"/>
    <d v="2025-03-01T00:00:00"/>
    <x v="2"/>
    <x v="3"/>
    <x v="2"/>
    <x v="0"/>
    <x v="3"/>
    <x v="3"/>
    <x v="8"/>
    <x v="2"/>
  </r>
  <r>
    <s v="TX501570"/>
    <x v="9"/>
    <x v="2"/>
    <n v="44.2"/>
    <n v="132.60000000000002"/>
    <x v="58"/>
    <d v="2025-03-04T00:00:00"/>
    <x v="1"/>
    <x v="2"/>
    <x v="2"/>
    <x v="0"/>
    <x v="3"/>
    <x v="5"/>
    <x v="8"/>
    <x v="1"/>
  </r>
  <r>
    <s v="TX501571"/>
    <x v="5"/>
    <x v="9"/>
    <n v="53.5"/>
    <n v="267.5"/>
    <x v="58"/>
    <d v="2025-03-02T00:00:00"/>
    <x v="1"/>
    <x v="0"/>
    <x v="0"/>
    <x v="0"/>
    <x v="37"/>
    <x v="1"/>
    <x v="8"/>
    <x v="1"/>
  </r>
  <r>
    <s v="TX501572"/>
    <x v="6"/>
    <x v="1"/>
    <n v="72.2"/>
    <n v="144.4"/>
    <x v="58"/>
    <d v="2025-03-01T00:00:00"/>
    <x v="1"/>
    <x v="0"/>
    <x v="2"/>
    <x v="0"/>
    <x v="25"/>
    <x v="3"/>
    <x v="8"/>
    <x v="1"/>
  </r>
  <r>
    <s v="TX501573"/>
    <x v="6"/>
    <x v="12"/>
    <n v="62.4"/>
    <n v="249.6"/>
    <x v="58"/>
    <d v="2025-03-03T00:00:00"/>
    <x v="2"/>
    <x v="0"/>
    <x v="1"/>
    <x v="0"/>
    <x v="23"/>
    <x v="2"/>
    <x v="8"/>
    <x v="2"/>
  </r>
  <r>
    <s v="TX501574"/>
    <x v="10"/>
    <x v="9"/>
    <n v="24.7"/>
    <n v="123.5"/>
    <x v="58"/>
    <d v="2025-03-01T00:00:00"/>
    <x v="2"/>
    <x v="0"/>
    <x v="0"/>
    <x v="0"/>
    <x v="6"/>
    <x v="3"/>
    <x v="8"/>
    <x v="2"/>
  </r>
  <r>
    <s v="TX501575"/>
    <x v="1"/>
    <x v="9"/>
    <n v="61.7"/>
    <n v="308.5"/>
    <x v="58"/>
    <d v="2025-03-02T00:00:00"/>
    <x v="2"/>
    <x v="2"/>
    <x v="0"/>
    <x v="0"/>
    <x v="8"/>
    <x v="1"/>
    <x v="8"/>
    <x v="2"/>
  </r>
  <r>
    <s v="TX501576"/>
    <x v="8"/>
    <x v="9"/>
    <n v="18.2"/>
    <n v="91"/>
    <x v="58"/>
    <d v="2025-03-02T00:00:00"/>
    <x v="2"/>
    <x v="3"/>
    <x v="0"/>
    <x v="0"/>
    <x v="8"/>
    <x v="1"/>
    <x v="8"/>
    <x v="2"/>
  </r>
  <r>
    <s v="TX501577"/>
    <x v="10"/>
    <x v="12"/>
    <n v="37.200000000000003"/>
    <n v="148.80000000000001"/>
    <x v="58"/>
    <d v="2025-03-06T00:00:00"/>
    <x v="2"/>
    <x v="0"/>
    <x v="0"/>
    <x v="0"/>
    <x v="8"/>
    <x v="4"/>
    <x v="8"/>
    <x v="2"/>
  </r>
  <r>
    <s v="TX501578"/>
    <x v="9"/>
    <x v="2"/>
    <n v="53.5"/>
    <n v="160.5"/>
    <x v="58"/>
    <d v="2025-03-02T00:00:00"/>
    <x v="2"/>
    <x v="1"/>
    <x v="2"/>
    <x v="0"/>
    <x v="9"/>
    <x v="1"/>
    <x v="8"/>
    <x v="2"/>
  </r>
  <r>
    <s v="TX501579"/>
    <x v="8"/>
    <x v="2"/>
    <n v="43.6"/>
    <n v="130.80000000000001"/>
    <x v="58"/>
    <d v="2025-02-28T00:00:00"/>
    <x v="2"/>
    <x v="0"/>
    <x v="0"/>
    <x v="0"/>
    <x v="9"/>
    <x v="7"/>
    <x v="8"/>
    <x v="2"/>
  </r>
  <r>
    <s v="TX501580"/>
    <x v="1"/>
    <x v="7"/>
    <n v="135"/>
    <n v="1350"/>
    <x v="58"/>
    <d v="2025-03-02T00:00:00"/>
    <x v="2"/>
    <x v="0"/>
    <x v="2"/>
    <x v="0"/>
    <x v="9"/>
    <x v="1"/>
    <x v="8"/>
    <x v="2"/>
  </r>
  <r>
    <s v="TX501581"/>
    <x v="8"/>
    <x v="9"/>
    <n v="38.5"/>
    <n v="192.5"/>
    <x v="58"/>
    <d v="2025-02-28T00:00:00"/>
    <x v="1"/>
    <x v="4"/>
    <x v="2"/>
    <x v="0"/>
    <x v="10"/>
    <x v="7"/>
    <x v="8"/>
    <x v="1"/>
  </r>
  <r>
    <s v="TX501582"/>
    <x v="9"/>
    <x v="1"/>
    <n v="24"/>
    <n v="48"/>
    <x v="58"/>
    <d v="2025-03-05T00:00:00"/>
    <x v="2"/>
    <x v="0"/>
    <x v="0"/>
    <x v="0"/>
    <x v="11"/>
    <x v="0"/>
    <x v="8"/>
    <x v="2"/>
  </r>
  <r>
    <s v="TX501583"/>
    <x v="4"/>
    <x v="2"/>
    <n v="28.2"/>
    <n v="84.6"/>
    <x v="58"/>
    <d v="2025-03-02T00:00:00"/>
    <x v="1"/>
    <x v="0"/>
    <x v="3"/>
    <x v="0"/>
    <x v="18"/>
    <x v="1"/>
    <x v="8"/>
    <x v="1"/>
  </r>
  <r>
    <s v="TX501584"/>
    <x v="7"/>
    <x v="2"/>
    <n v="37.4"/>
    <n v="112.19999999999999"/>
    <x v="58"/>
    <d v="2025-03-01T00:00:00"/>
    <x v="2"/>
    <x v="3"/>
    <x v="0"/>
    <x v="0"/>
    <x v="1"/>
    <x v="3"/>
    <x v="8"/>
    <x v="2"/>
  </r>
  <r>
    <s v="TX501585"/>
    <x v="6"/>
    <x v="2"/>
    <n v="53.5"/>
    <n v="160.5"/>
    <x v="58"/>
    <d v="2025-03-03T00:00:00"/>
    <x v="0"/>
    <x v="4"/>
    <x v="4"/>
    <x v="0"/>
    <x v="1"/>
    <x v="2"/>
    <x v="8"/>
    <x v="0"/>
  </r>
  <r>
    <s v="TX501586"/>
    <x v="11"/>
    <x v="9"/>
    <n v="36.200000000000003"/>
    <n v="181"/>
    <x v="58"/>
    <d v="2025-03-01T00:00:00"/>
    <x v="1"/>
    <x v="1"/>
    <x v="2"/>
    <x v="0"/>
    <x v="33"/>
    <x v="3"/>
    <x v="8"/>
    <x v="1"/>
  </r>
  <r>
    <s v="TX501587"/>
    <x v="0"/>
    <x v="8"/>
    <n v="31.9"/>
    <n v="255.2"/>
    <x v="58"/>
    <d v="2025-03-01T00:00:00"/>
    <x v="2"/>
    <x v="4"/>
    <x v="0"/>
    <x v="0"/>
    <x v="3"/>
    <x v="3"/>
    <x v="8"/>
    <x v="2"/>
  </r>
  <r>
    <s v="TX501588"/>
    <x v="8"/>
    <x v="2"/>
    <n v="21.3"/>
    <n v="63.900000000000006"/>
    <x v="58"/>
    <d v="2025-03-01T00:00:00"/>
    <x v="1"/>
    <x v="0"/>
    <x v="2"/>
    <x v="0"/>
    <x v="3"/>
    <x v="3"/>
    <x v="8"/>
    <x v="1"/>
  </r>
  <r>
    <s v="TX501589"/>
    <x v="8"/>
    <x v="0"/>
    <n v="36.299999999999997"/>
    <n v="36.299999999999997"/>
    <x v="58"/>
    <d v="2025-03-02T00:00:00"/>
    <x v="3"/>
    <x v="4"/>
    <x v="0"/>
    <x v="0"/>
    <x v="3"/>
    <x v="1"/>
    <x v="8"/>
    <x v="3"/>
  </r>
  <r>
    <s v="TX501590"/>
    <x v="6"/>
    <x v="2"/>
    <n v="110.5"/>
    <n v="331.5"/>
    <x v="58"/>
    <d v="2025-03-01T00:00:00"/>
    <x v="2"/>
    <x v="0"/>
    <x v="3"/>
    <x v="0"/>
    <x v="3"/>
    <x v="3"/>
    <x v="8"/>
    <x v="2"/>
  </r>
  <r>
    <s v="TX501591"/>
    <x v="10"/>
    <x v="3"/>
    <n v="32.6"/>
    <n v="228.20000000000002"/>
    <x v="58"/>
    <d v="2025-03-02T00:00:00"/>
    <x v="2"/>
    <x v="0"/>
    <x v="1"/>
    <x v="0"/>
    <x v="3"/>
    <x v="1"/>
    <x v="8"/>
    <x v="2"/>
  </r>
  <r>
    <s v="TX501592"/>
    <x v="5"/>
    <x v="2"/>
    <n v="55.6"/>
    <n v="166.8"/>
    <x v="59"/>
    <d v="2025-03-14T00:00:00"/>
    <x v="2"/>
    <x v="0"/>
    <x v="0"/>
    <x v="0"/>
    <x v="3"/>
    <x v="10"/>
    <x v="8"/>
    <x v="2"/>
  </r>
  <r>
    <s v="TX501593"/>
    <x v="1"/>
    <x v="12"/>
    <n v="38"/>
    <n v="152"/>
    <x v="59"/>
    <d v="2025-03-02T00:00:00"/>
    <x v="2"/>
    <x v="3"/>
    <x v="2"/>
    <x v="0"/>
    <x v="5"/>
    <x v="3"/>
    <x v="8"/>
    <x v="2"/>
  </r>
  <r>
    <s v="TX501594"/>
    <x v="10"/>
    <x v="1"/>
    <n v="51.8"/>
    <n v="103.6"/>
    <x v="59"/>
    <d v="2025-03-07T00:00:00"/>
    <x v="1"/>
    <x v="1"/>
    <x v="4"/>
    <x v="0"/>
    <x v="6"/>
    <x v="4"/>
    <x v="8"/>
    <x v="1"/>
  </r>
  <r>
    <s v="TX501595"/>
    <x v="11"/>
    <x v="8"/>
    <n v="28.7"/>
    <n v="229.6"/>
    <x v="59"/>
    <d v="2025-03-06T00:00:00"/>
    <x v="2"/>
    <x v="0"/>
    <x v="0"/>
    <x v="0"/>
    <x v="6"/>
    <x v="0"/>
    <x v="8"/>
    <x v="2"/>
  </r>
  <r>
    <s v="TX501596"/>
    <x v="6"/>
    <x v="4"/>
    <n v="52.2"/>
    <n v="626.40000000000009"/>
    <x v="59"/>
    <d v="2025-03-01T00:00:00"/>
    <x v="1"/>
    <x v="0"/>
    <x v="1"/>
    <x v="0"/>
    <x v="6"/>
    <x v="7"/>
    <x v="8"/>
    <x v="1"/>
  </r>
  <r>
    <s v="TX501597"/>
    <x v="1"/>
    <x v="1"/>
    <n v="68.2"/>
    <n v="136.4"/>
    <x v="59"/>
    <d v="2025-03-02T00:00:00"/>
    <x v="0"/>
    <x v="2"/>
    <x v="0"/>
    <x v="0"/>
    <x v="7"/>
    <x v="3"/>
    <x v="8"/>
    <x v="0"/>
  </r>
  <r>
    <s v="TX501598"/>
    <x v="0"/>
    <x v="2"/>
    <n v="34"/>
    <n v="102"/>
    <x v="59"/>
    <d v="2025-03-05T00:00:00"/>
    <x v="2"/>
    <x v="0"/>
    <x v="0"/>
    <x v="0"/>
    <x v="8"/>
    <x v="5"/>
    <x v="8"/>
    <x v="2"/>
  </r>
  <r>
    <s v="TX501599"/>
    <x v="8"/>
    <x v="2"/>
    <n v="19.100000000000001"/>
    <n v="57.300000000000004"/>
    <x v="59"/>
    <d v="2025-03-02T00:00:00"/>
    <x v="2"/>
    <x v="4"/>
    <x v="0"/>
    <x v="0"/>
    <x v="8"/>
    <x v="3"/>
    <x v="8"/>
    <x v="2"/>
  </r>
  <r>
    <s v="TX501600"/>
    <x v="5"/>
    <x v="8"/>
    <n v="34"/>
    <n v="272"/>
    <x v="59"/>
    <d v="2025-03-09T00:00:00"/>
    <x v="2"/>
    <x v="4"/>
    <x v="0"/>
    <x v="0"/>
    <x v="8"/>
    <x v="9"/>
    <x v="8"/>
    <x v="2"/>
  </r>
  <r>
    <s v="TX501601"/>
    <x v="12"/>
    <x v="1"/>
    <n v="109.1"/>
    <n v="218.2"/>
    <x v="59"/>
    <d v="2025-03-03T00:00:00"/>
    <x v="1"/>
    <x v="0"/>
    <x v="2"/>
    <x v="0"/>
    <x v="8"/>
    <x v="1"/>
    <x v="8"/>
    <x v="1"/>
  </r>
  <r>
    <s v="TX501602"/>
    <x v="18"/>
    <x v="1"/>
    <n v="64.8"/>
    <n v="129.6"/>
    <x v="59"/>
    <d v="2025-03-03T00:00:00"/>
    <x v="1"/>
    <x v="0"/>
    <x v="2"/>
    <x v="0"/>
    <x v="8"/>
    <x v="1"/>
    <x v="8"/>
    <x v="1"/>
  </r>
  <r>
    <s v="TX501603"/>
    <x v="10"/>
    <x v="1"/>
    <n v="21.1"/>
    <n v="42.2"/>
    <x v="59"/>
    <d v="2025-03-01T00:00:00"/>
    <x v="2"/>
    <x v="1"/>
    <x v="0"/>
    <x v="0"/>
    <x v="11"/>
    <x v="7"/>
    <x v="8"/>
    <x v="2"/>
  </r>
  <r>
    <s v="TX501604"/>
    <x v="0"/>
    <x v="8"/>
    <n v="21.3"/>
    <n v="170.4"/>
    <x v="59"/>
    <d v="2025-03-03T00:00:00"/>
    <x v="1"/>
    <x v="3"/>
    <x v="1"/>
    <x v="0"/>
    <x v="18"/>
    <x v="1"/>
    <x v="8"/>
    <x v="1"/>
  </r>
  <r>
    <s v="TX501605"/>
    <x v="9"/>
    <x v="2"/>
    <n v="24.3"/>
    <n v="72.900000000000006"/>
    <x v="59"/>
    <d v="2025-03-02T00:00:00"/>
    <x v="1"/>
    <x v="1"/>
    <x v="0"/>
    <x v="0"/>
    <x v="19"/>
    <x v="3"/>
    <x v="8"/>
    <x v="1"/>
  </r>
  <r>
    <s v="TX501606"/>
    <x v="8"/>
    <x v="0"/>
    <n v="43.3"/>
    <n v="43.3"/>
    <x v="59"/>
    <d v="2025-03-05T00:00:00"/>
    <x v="1"/>
    <x v="1"/>
    <x v="1"/>
    <x v="0"/>
    <x v="13"/>
    <x v="5"/>
    <x v="8"/>
    <x v="1"/>
  </r>
  <r>
    <s v="TX501607"/>
    <x v="9"/>
    <x v="2"/>
    <n v="41"/>
    <n v="123"/>
    <x v="59"/>
    <d v="2025-03-02T00:00:00"/>
    <x v="2"/>
    <x v="3"/>
    <x v="4"/>
    <x v="0"/>
    <x v="21"/>
    <x v="3"/>
    <x v="8"/>
    <x v="2"/>
  </r>
  <r>
    <s v="TX501608"/>
    <x v="16"/>
    <x v="2"/>
    <n v="54.1"/>
    <n v="162.30000000000001"/>
    <x v="59"/>
    <d v="2025-03-03T00:00:00"/>
    <x v="2"/>
    <x v="4"/>
    <x v="0"/>
    <x v="0"/>
    <x v="21"/>
    <x v="1"/>
    <x v="8"/>
    <x v="2"/>
  </r>
  <r>
    <s v="TX501609"/>
    <x v="11"/>
    <x v="1"/>
    <n v="39"/>
    <n v="78"/>
    <x v="59"/>
    <d v="2025-03-02T00:00:00"/>
    <x v="1"/>
    <x v="1"/>
    <x v="2"/>
    <x v="0"/>
    <x v="1"/>
    <x v="3"/>
    <x v="8"/>
    <x v="1"/>
  </r>
  <r>
    <s v="TX501610"/>
    <x v="8"/>
    <x v="1"/>
    <n v="40.299999999999997"/>
    <n v="80.599999999999994"/>
    <x v="59"/>
    <d v="2025-03-03T00:00:00"/>
    <x v="1"/>
    <x v="3"/>
    <x v="0"/>
    <x v="0"/>
    <x v="27"/>
    <x v="1"/>
    <x v="8"/>
    <x v="1"/>
  </r>
  <r>
    <s v="TX501611"/>
    <x v="8"/>
    <x v="2"/>
    <n v="24.1"/>
    <n v="72.300000000000011"/>
    <x v="59"/>
    <d v="2025-03-02T00:00:00"/>
    <x v="1"/>
    <x v="0"/>
    <x v="2"/>
    <x v="0"/>
    <x v="34"/>
    <x v="3"/>
    <x v="8"/>
    <x v="1"/>
  </r>
  <r>
    <s v="TX501612"/>
    <x v="6"/>
    <x v="9"/>
    <n v="52.3"/>
    <n v="261.5"/>
    <x v="59"/>
    <d v="2025-03-02T00:00:00"/>
    <x v="1"/>
    <x v="2"/>
    <x v="0"/>
    <x v="0"/>
    <x v="3"/>
    <x v="3"/>
    <x v="8"/>
    <x v="1"/>
  </r>
  <r>
    <s v="TX501613"/>
    <x v="12"/>
    <x v="12"/>
    <n v="68.8"/>
    <n v="275.2"/>
    <x v="59"/>
    <d v="2025-03-05T00:00:00"/>
    <x v="2"/>
    <x v="4"/>
    <x v="2"/>
    <x v="0"/>
    <x v="3"/>
    <x v="5"/>
    <x v="8"/>
    <x v="2"/>
  </r>
  <r>
    <s v="TX501614"/>
    <x v="2"/>
    <x v="1"/>
    <n v="128.80000000000001"/>
    <n v="257.60000000000002"/>
    <x v="60"/>
    <d v="2025-03-05T00:00:00"/>
    <x v="2"/>
    <x v="1"/>
    <x v="1"/>
    <x v="0"/>
    <x v="3"/>
    <x v="2"/>
    <x v="9"/>
    <x v="2"/>
  </r>
  <r>
    <s v="TX501615"/>
    <x v="15"/>
    <x v="9"/>
    <n v="48.2"/>
    <n v="241"/>
    <x v="60"/>
    <d v="2025-03-04T00:00:00"/>
    <x v="2"/>
    <x v="3"/>
    <x v="0"/>
    <x v="0"/>
    <x v="3"/>
    <x v="1"/>
    <x v="9"/>
    <x v="2"/>
  </r>
  <r>
    <s v="TX501616"/>
    <x v="10"/>
    <x v="0"/>
    <n v="39.700000000000003"/>
    <n v="39.700000000000003"/>
    <x v="60"/>
    <d v="2025-03-04T00:00:00"/>
    <x v="2"/>
    <x v="0"/>
    <x v="1"/>
    <x v="0"/>
    <x v="3"/>
    <x v="1"/>
    <x v="9"/>
    <x v="2"/>
  </r>
  <r>
    <s v="TX501617"/>
    <x v="9"/>
    <x v="0"/>
    <n v="59.7"/>
    <n v="59.7"/>
    <x v="60"/>
    <d v="2025-03-05T00:00:00"/>
    <x v="2"/>
    <x v="4"/>
    <x v="0"/>
    <x v="0"/>
    <x v="3"/>
    <x v="2"/>
    <x v="9"/>
    <x v="2"/>
  </r>
  <r>
    <s v="TX501618"/>
    <x v="6"/>
    <x v="0"/>
    <n v="48.3"/>
    <n v="48.3"/>
    <x v="60"/>
    <d v="2025-03-16T00:00:00"/>
    <x v="3"/>
    <x v="0"/>
    <x v="2"/>
    <x v="0"/>
    <x v="3"/>
    <x v="12"/>
    <x v="9"/>
    <x v="3"/>
  </r>
  <r>
    <s v="TX501619"/>
    <x v="8"/>
    <x v="2"/>
    <n v="45.5"/>
    <n v="136.5"/>
    <x v="60"/>
    <d v="2025-03-04T00:00:00"/>
    <x v="1"/>
    <x v="2"/>
    <x v="1"/>
    <x v="0"/>
    <x v="3"/>
    <x v="1"/>
    <x v="9"/>
    <x v="1"/>
  </r>
  <r>
    <s v="TX501620"/>
    <x v="9"/>
    <x v="6"/>
    <n v="51"/>
    <n v="1377"/>
    <x v="60"/>
    <d v="2025-03-02T00:00:00"/>
    <x v="2"/>
    <x v="2"/>
    <x v="0"/>
    <x v="0"/>
    <x v="3"/>
    <x v="7"/>
    <x v="9"/>
    <x v="2"/>
  </r>
  <r>
    <s v="TX501621"/>
    <x v="4"/>
    <x v="13"/>
    <n v="20.399999999999999"/>
    <n v="122.39999999999999"/>
    <x v="60"/>
    <d v="2025-03-03T00:00:00"/>
    <x v="1"/>
    <x v="2"/>
    <x v="0"/>
    <x v="0"/>
    <x v="3"/>
    <x v="3"/>
    <x v="9"/>
    <x v="1"/>
  </r>
  <r>
    <s v="TX501622"/>
    <x v="10"/>
    <x v="1"/>
    <n v="30.4"/>
    <n v="60.8"/>
    <x v="60"/>
    <d v="2025-03-04T00:00:00"/>
    <x v="1"/>
    <x v="2"/>
    <x v="0"/>
    <x v="0"/>
    <x v="3"/>
    <x v="1"/>
    <x v="9"/>
    <x v="1"/>
  </r>
  <r>
    <s v="TX501623"/>
    <x v="7"/>
    <x v="1"/>
    <n v="71.5"/>
    <n v="143"/>
    <x v="60"/>
    <d v="2025-03-06T00:00:00"/>
    <x v="2"/>
    <x v="0"/>
    <x v="0"/>
    <x v="0"/>
    <x v="3"/>
    <x v="5"/>
    <x v="9"/>
    <x v="2"/>
  </r>
  <r>
    <s v="TX501624"/>
    <x v="8"/>
    <x v="13"/>
    <n v="18"/>
    <n v="108"/>
    <x v="60"/>
    <d v="2025-03-03T00:00:00"/>
    <x v="3"/>
    <x v="1"/>
    <x v="2"/>
    <x v="0"/>
    <x v="6"/>
    <x v="3"/>
    <x v="9"/>
    <x v="3"/>
  </r>
  <r>
    <s v="TX501625"/>
    <x v="15"/>
    <x v="5"/>
    <n v="45.6"/>
    <n v="501.6"/>
    <x v="60"/>
    <d v="2025-03-03T00:00:00"/>
    <x v="3"/>
    <x v="1"/>
    <x v="1"/>
    <x v="0"/>
    <x v="7"/>
    <x v="3"/>
    <x v="9"/>
    <x v="3"/>
  </r>
  <r>
    <s v="TX501626"/>
    <x v="9"/>
    <x v="0"/>
    <n v="31.8"/>
    <n v="31.8"/>
    <x v="60"/>
    <d v="2025-03-06T00:00:00"/>
    <x v="2"/>
    <x v="0"/>
    <x v="2"/>
    <x v="0"/>
    <x v="7"/>
    <x v="5"/>
    <x v="9"/>
    <x v="2"/>
  </r>
  <r>
    <s v="TX501627"/>
    <x v="8"/>
    <x v="9"/>
    <n v="19.899999999999999"/>
    <n v="99.5"/>
    <x v="60"/>
    <d v="2025-03-03T00:00:00"/>
    <x v="2"/>
    <x v="1"/>
    <x v="0"/>
    <x v="0"/>
    <x v="7"/>
    <x v="3"/>
    <x v="9"/>
    <x v="2"/>
  </r>
  <r>
    <s v="TX501628"/>
    <x v="12"/>
    <x v="11"/>
    <n v="52.1"/>
    <n v="468.90000000000003"/>
    <x v="60"/>
    <d v="2025-03-04T00:00:00"/>
    <x v="1"/>
    <x v="0"/>
    <x v="0"/>
    <x v="0"/>
    <x v="8"/>
    <x v="1"/>
    <x v="9"/>
    <x v="1"/>
  </r>
  <r>
    <s v="TX501629"/>
    <x v="1"/>
    <x v="3"/>
    <n v="45.9"/>
    <n v="321.3"/>
    <x v="60"/>
    <d v="2025-03-03T00:00:00"/>
    <x v="1"/>
    <x v="0"/>
    <x v="1"/>
    <x v="0"/>
    <x v="8"/>
    <x v="3"/>
    <x v="9"/>
    <x v="1"/>
  </r>
  <r>
    <s v="TX501630"/>
    <x v="1"/>
    <x v="7"/>
    <n v="115.9"/>
    <n v="1159"/>
    <x v="60"/>
    <d v="2025-03-05T00:00:00"/>
    <x v="2"/>
    <x v="1"/>
    <x v="0"/>
    <x v="0"/>
    <x v="8"/>
    <x v="2"/>
    <x v="9"/>
    <x v="2"/>
  </r>
  <r>
    <s v="TX501631"/>
    <x v="6"/>
    <x v="11"/>
    <n v="86"/>
    <n v="774"/>
    <x v="60"/>
    <d v="2025-03-07T00:00:00"/>
    <x v="2"/>
    <x v="0"/>
    <x v="1"/>
    <x v="0"/>
    <x v="8"/>
    <x v="0"/>
    <x v="9"/>
    <x v="2"/>
  </r>
  <r>
    <s v="TX501632"/>
    <x v="7"/>
    <x v="3"/>
    <n v="73.599999999999994"/>
    <n v="515.19999999999993"/>
    <x v="60"/>
    <d v="2025-03-04T00:00:00"/>
    <x v="2"/>
    <x v="0"/>
    <x v="0"/>
    <x v="0"/>
    <x v="17"/>
    <x v="1"/>
    <x v="9"/>
    <x v="2"/>
  </r>
  <r>
    <s v="TX501633"/>
    <x v="10"/>
    <x v="2"/>
    <n v="26.7"/>
    <n v="80.099999999999994"/>
    <x v="60"/>
    <d v="2025-03-06T00:00:00"/>
    <x v="2"/>
    <x v="0"/>
    <x v="0"/>
    <x v="0"/>
    <x v="11"/>
    <x v="5"/>
    <x v="9"/>
    <x v="2"/>
  </r>
  <r>
    <s v="TX501634"/>
    <x v="8"/>
    <x v="3"/>
    <n v="46.6"/>
    <n v="326.2"/>
    <x v="60"/>
    <d v="2025-03-04T00:00:00"/>
    <x v="0"/>
    <x v="3"/>
    <x v="0"/>
    <x v="0"/>
    <x v="11"/>
    <x v="1"/>
    <x v="9"/>
    <x v="0"/>
  </r>
  <r>
    <s v="TX501635"/>
    <x v="3"/>
    <x v="2"/>
    <n v="84.6"/>
    <n v="253.79999999999998"/>
    <x v="60"/>
    <d v="2025-03-04T00:00:00"/>
    <x v="1"/>
    <x v="4"/>
    <x v="0"/>
    <x v="0"/>
    <x v="11"/>
    <x v="1"/>
    <x v="9"/>
    <x v="1"/>
  </r>
  <r>
    <s v="TX501636"/>
    <x v="7"/>
    <x v="21"/>
    <n v="41.5"/>
    <n v="581"/>
    <x v="60"/>
    <d v="2025-03-16T00:00:00"/>
    <x v="1"/>
    <x v="1"/>
    <x v="0"/>
    <x v="0"/>
    <x v="53"/>
    <x v="12"/>
    <x v="9"/>
    <x v="1"/>
  </r>
  <r>
    <s v="TX501637"/>
    <x v="8"/>
    <x v="0"/>
    <n v="32.799999999999997"/>
    <n v="32.799999999999997"/>
    <x v="60"/>
    <d v="2025-03-05T00:00:00"/>
    <x v="1"/>
    <x v="0"/>
    <x v="2"/>
    <x v="0"/>
    <x v="30"/>
    <x v="2"/>
    <x v="9"/>
    <x v="1"/>
  </r>
  <r>
    <s v="TX501638"/>
    <x v="4"/>
    <x v="3"/>
    <n v="46.7"/>
    <n v="326.90000000000003"/>
    <x v="60"/>
    <d v="2025-03-04T00:00:00"/>
    <x v="3"/>
    <x v="0"/>
    <x v="2"/>
    <x v="0"/>
    <x v="18"/>
    <x v="1"/>
    <x v="9"/>
    <x v="3"/>
  </r>
  <r>
    <s v="TX501639"/>
    <x v="15"/>
    <x v="3"/>
    <n v="21"/>
    <n v="147"/>
    <x v="60"/>
    <d v="2025-03-05T00:00:00"/>
    <x v="1"/>
    <x v="2"/>
    <x v="1"/>
    <x v="0"/>
    <x v="21"/>
    <x v="2"/>
    <x v="9"/>
    <x v="1"/>
  </r>
  <r>
    <s v="TX501640"/>
    <x v="5"/>
    <x v="3"/>
    <n v="29.4"/>
    <n v="205.79999999999998"/>
    <x v="60"/>
    <d v="2025-03-02T00:00:00"/>
    <x v="1"/>
    <x v="3"/>
    <x v="2"/>
    <x v="0"/>
    <x v="21"/>
    <x v="7"/>
    <x v="9"/>
    <x v="1"/>
  </r>
  <r>
    <s v="TX501641"/>
    <x v="15"/>
    <x v="1"/>
    <n v="32.299999999999997"/>
    <n v="64.599999999999994"/>
    <x v="60"/>
    <d v="2025-03-03T00:00:00"/>
    <x v="1"/>
    <x v="0"/>
    <x v="2"/>
    <x v="0"/>
    <x v="21"/>
    <x v="3"/>
    <x v="9"/>
    <x v="1"/>
  </r>
  <r>
    <s v="TX501642"/>
    <x v="6"/>
    <x v="0"/>
    <n v="42.2"/>
    <n v="42.2"/>
    <x v="61"/>
    <d v="2025-03-05T00:00:00"/>
    <x v="2"/>
    <x v="0"/>
    <x v="2"/>
    <x v="0"/>
    <x v="21"/>
    <x v="1"/>
    <x v="9"/>
    <x v="2"/>
  </r>
  <r>
    <s v="TX501643"/>
    <x v="6"/>
    <x v="0"/>
    <n v="53.7"/>
    <n v="53.7"/>
    <x v="61"/>
    <d v="2025-03-05T00:00:00"/>
    <x v="1"/>
    <x v="1"/>
    <x v="1"/>
    <x v="0"/>
    <x v="1"/>
    <x v="1"/>
    <x v="9"/>
    <x v="1"/>
  </r>
  <r>
    <s v="TX501644"/>
    <x v="2"/>
    <x v="1"/>
    <n v="123.9"/>
    <n v="247.8"/>
    <x v="61"/>
    <d v="2025-03-06T00:00:00"/>
    <x v="1"/>
    <x v="2"/>
    <x v="0"/>
    <x v="0"/>
    <x v="1"/>
    <x v="2"/>
    <x v="9"/>
    <x v="1"/>
  </r>
  <r>
    <s v="TX501645"/>
    <x v="4"/>
    <x v="2"/>
    <n v="35.9"/>
    <n v="107.69999999999999"/>
    <x v="61"/>
    <d v="2025-03-05T00:00:00"/>
    <x v="1"/>
    <x v="2"/>
    <x v="0"/>
    <x v="0"/>
    <x v="22"/>
    <x v="1"/>
    <x v="9"/>
    <x v="1"/>
  </r>
  <r>
    <s v="TX501646"/>
    <x v="4"/>
    <x v="1"/>
    <n v="23.6"/>
    <n v="47.2"/>
    <x v="61"/>
    <d v="2025-03-06T00:00:00"/>
    <x v="1"/>
    <x v="0"/>
    <x v="2"/>
    <x v="0"/>
    <x v="3"/>
    <x v="2"/>
    <x v="9"/>
    <x v="1"/>
  </r>
  <r>
    <s v="TX501647"/>
    <x v="15"/>
    <x v="36"/>
    <n v="45.7"/>
    <n v="1599.5"/>
    <x v="61"/>
    <d v="2025-03-04T00:00:00"/>
    <x v="1"/>
    <x v="0"/>
    <x v="1"/>
    <x v="0"/>
    <x v="3"/>
    <x v="3"/>
    <x v="9"/>
    <x v="1"/>
  </r>
  <r>
    <s v="TX501648"/>
    <x v="6"/>
    <x v="5"/>
    <n v="118.3"/>
    <n v="1301.3"/>
    <x v="61"/>
    <d v="2025-03-05T00:00:00"/>
    <x v="1"/>
    <x v="4"/>
    <x v="2"/>
    <x v="0"/>
    <x v="3"/>
    <x v="1"/>
    <x v="9"/>
    <x v="1"/>
  </r>
  <r>
    <s v="TX501649"/>
    <x v="19"/>
    <x v="0"/>
    <n v="36"/>
    <n v="36"/>
    <x v="61"/>
    <d v="2025-03-04T00:00:00"/>
    <x v="2"/>
    <x v="0"/>
    <x v="1"/>
    <x v="0"/>
    <x v="3"/>
    <x v="3"/>
    <x v="9"/>
    <x v="2"/>
  </r>
  <r>
    <s v="TX501650"/>
    <x v="8"/>
    <x v="1"/>
    <n v="37.1"/>
    <n v="74.2"/>
    <x v="61"/>
    <d v="2025-03-06T00:00:00"/>
    <x v="2"/>
    <x v="2"/>
    <x v="0"/>
    <x v="0"/>
    <x v="3"/>
    <x v="2"/>
    <x v="9"/>
    <x v="2"/>
  </r>
  <r>
    <s v="TX501651"/>
    <x v="18"/>
    <x v="2"/>
    <n v="45.1"/>
    <n v="135.30000000000001"/>
    <x v="61"/>
    <d v="2025-03-05T00:00:00"/>
    <x v="2"/>
    <x v="1"/>
    <x v="2"/>
    <x v="0"/>
    <x v="3"/>
    <x v="1"/>
    <x v="9"/>
    <x v="2"/>
  </r>
  <r>
    <s v="TX501652"/>
    <x v="5"/>
    <x v="27"/>
    <n v="37.9"/>
    <n v="606.4"/>
    <x v="61"/>
    <d v="2025-03-04T00:00:00"/>
    <x v="2"/>
    <x v="3"/>
    <x v="2"/>
    <x v="0"/>
    <x v="3"/>
    <x v="3"/>
    <x v="9"/>
    <x v="2"/>
  </r>
  <r>
    <s v="TX501653"/>
    <x v="2"/>
    <x v="1"/>
    <n v="121.6"/>
    <n v="243.2"/>
    <x v="61"/>
    <d v="2025-03-06T00:00:00"/>
    <x v="1"/>
    <x v="3"/>
    <x v="2"/>
    <x v="0"/>
    <x v="3"/>
    <x v="2"/>
    <x v="9"/>
    <x v="1"/>
  </r>
  <r>
    <s v="TX501654"/>
    <x v="5"/>
    <x v="3"/>
    <n v="38.200000000000003"/>
    <n v="267.40000000000003"/>
    <x v="61"/>
    <d v="2025-03-06T00:00:00"/>
    <x v="2"/>
    <x v="0"/>
    <x v="0"/>
    <x v="0"/>
    <x v="3"/>
    <x v="2"/>
    <x v="9"/>
    <x v="2"/>
  </r>
  <r>
    <s v="TX501655"/>
    <x v="17"/>
    <x v="1"/>
    <n v="37.200000000000003"/>
    <n v="74.400000000000006"/>
    <x v="61"/>
    <d v="2025-03-06T00:00:00"/>
    <x v="1"/>
    <x v="4"/>
    <x v="0"/>
    <x v="0"/>
    <x v="3"/>
    <x v="2"/>
    <x v="9"/>
    <x v="1"/>
  </r>
  <r>
    <s v="TX501656"/>
    <x v="2"/>
    <x v="12"/>
    <n v="115.7"/>
    <n v="462.8"/>
    <x v="61"/>
    <d v="2025-03-06T00:00:00"/>
    <x v="2"/>
    <x v="1"/>
    <x v="0"/>
    <x v="0"/>
    <x v="3"/>
    <x v="2"/>
    <x v="9"/>
    <x v="2"/>
  </r>
  <r>
    <s v="TX501657"/>
    <x v="2"/>
    <x v="13"/>
    <n v="99.4"/>
    <n v="596.40000000000009"/>
    <x v="61"/>
    <d v="2025-03-06T00:00:00"/>
    <x v="1"/>
    <x v="0"/>
    <x v="2"/>
    <x v="0"/>
    <x v="3"/>
    <x v="2"/>
    <x v="9"/>
    <x v="1"/>
  </r>
  <r>
    <s v="TX501658"/>
    <x v="11"/>
    <x v="0"/>
    <n v="38.700000000000003"/>
    <n v="38.700000000000003"/>
    <x v="61"/>
    <d v="2025-03-04T00:00:00"/>
    <x v="2"/>
    <x v="2"/>
    <x v="0"/>
    <x v="0"/>
    <x v="25"/>
    <x v="3"/>
    <x v="9"/>
    <x v="2"/>
  </r>
  <r>
    <s v="TX501659"/>
    <x v="4"/>
    <x v="1"/>
    <n v="35.5"/>
    <n v="71"/>
    <x v="61"/>
    <d v="2025-03-06T00:00:00"/>
    <x v="1"/>
    <x v="0"/>
    <x v="2"/>
    <x v="0"/>
    <x v="25"/>
    <x v="2"/>
    <x v="9"/>
    <x v="1"/>
  </r>
  <r>
    <s v="TX501660"/>
    <x v="2"/>
    <x v="12"/>
    <n v="93.3"/>
    <n v="373.2"/>
    <x v="61"/>
    <d v="2025-03-06T00:00:00"/>
    <x v="2"/>
    <x v="0"/>
    <x v="2"/>
    <x v="0"/>
    <x v="6"/>
    <x v="2"/>
    <x v="9"/>
    <x v="2"/>
  </r>
  <r>
    <s v="TX501661"/>
    <x v="16"/>
    <x v="0"/>
    <n v="31.4"/>
    <n v="31.4"/>
    <x v="61"/>
    <d v="2025-03-08T00:00:00"/>
    <x v="2"/>
    <x v="2"/>
    <x v="2"/>
    <x v="0"/>
    <x v="6"/>
    <x v="0"/>
    <x v="9"/>
    <x v="2"/>
  </r>
  <r>
    <s v="TX501662"/>
    <x v="1"/>
    <x v="0"/>
    <n v="85.9"/>
    <n v="85.9"/>
    <x v="61"/>
    <d v="2025-03-06T00:00:00"/>
    <x v="1"/>
    <x v="1"/>
    <x v="0"/>
    <x v="0"/>
    <x v="6"/>
    <x v="2"/>
    <x v="9"/>
    <x v="1"/>
  </r>
  <r>
    <s v="TX501663"/>
    <x v="6"/>
    <x v="8"/>
    <n v="41.7"/>
    <n v="333.6"/>
    <x v="61"/>
    <d v="2025-03-11T00:00:00"/>
    <x v="1"/>
    <x v="0"/>
    <x v="2"/>
    <x v="0"/>
    <x v="7"/>
    <x v="9"/>
    <x v="9"/>
    <x v="1"/>
  </r>
  <r>
    <s v="TX501664"/>
    <x v="8"/>
    <x v="12"/>
    <n v="31.5"/>
    <n v="126"/>
    <x v="61"/>
    <d v="2025-03-04T00:00:00"/>
    <x v="2"/>
    <x v="0"/>
    <x v="0"/>
    <x v="0"/>
    <x v="7"/>
    <x v="3"/>
    <x v="9"/>
    <x v="2"/>
  </r>
  <r>
    <s v="TX501665"/>
    <x v="8"/>
    <x v="1"/>
    <n v="36.299999999999997"/>
    <n v="72.599999999999994"/>
    <x v="61"/>
    <d v="2025-03-04T00:00:00"/>
    <x v="2"/>
    <x v="0"/>
    <x v="4"/>
    <x v="0"/>
    <x v="8"/>
    <x v="3"/>
    <x v="9"/>
    <x v="2"/>
  </r>
  <r>
    <s v="TX501666"/>
    <x v="8"/>
    <x v="2"/>
    <n v="33.4"/>
    <n v="100.19999999999999"/>
    <x v="61"/>
    <d v="2025-03-04T00:00:00"/>
    <x v="2"/>
    <x v="3"/>
    <x v="0"/>
    <x v="0"/>
    <x v="17"/>
    <x v="3"/>
    <x v="9"/>
    <x v="2"/>
  </r>
  <r>
    <s v="TX501667"/>
    <x v="2"/>
    <x v="2"/>
    <n v="65.2"/>
    <n v="195.60000000000002"/>
    <x v="61"/>
    <d v="2025-03-04T00:00:00"/>
    <x v="2"/>
    <x v="2"/>
    <x v="2"/>
    <x v="0"/>
    <x v="26"/>
    <x v="3"/>
    <x v="9"/>
    <x v="2"/>
  </r>
  <r>
    <s v="TX501668"/>
    <x v="8"/>
    <x v="11"/>
    <n v="65.5"/>
    <n v="589.5"/>
    <x v="61"/>
    <d v="2025-03-06T00:00:00"/>
    <x v="2"/>
    <x v="0"/>
    <x v="2"/>
    <x v="0"/>
    <x v="9"/>
    <x v="2"/>
    <x v="9"/>
    <x v="2"/>
  </r>
  <r>
    <s v="TX501669"/>
    <x v="6"/>
    <x v="2"/>
    <n v="52.8"/>
    <n v="158.39999999999998"/>
    <x v="61"/>
    <d v="2025-03-06T00:00:00"/>
    <x v="1"/>
    <x v="2"/>
    <x v="0"/>
    <x v="0"/>
    <x v="9"/>
    <x v="2"/>
    <x v="9"/>
    <x v="1"/>
  </r>
  <r>
    <s v="TX501670"/>
    <x v="9"/>
    <x v="9"/>
    <n v="24"/>
    <n v="120"/>
    <x v="61"/>
    <d v="2025-03-07T00:00:00"/>
    <x v="1"/>
    <x v="0"/>
    <x v="1"/>
    <x v="0"/>
    <x v="11"/>
    <x v="5"/>
    <x v="9"/>
    <x v="1"/>
  </r>
  <r>
    <s v="TX501671"/>
    <x v="3"/>
    <x v="2"/>
    <n v="51.2"/>
    <n v="153.60000000000002"/>
    <x v="61"/>
    <d v="2025-03-04T00:00:00"/>
    <x v="2"/>
    <x v="0"/>
    <x v="0"/>
    <x v="0"/>
    <x v="32"/>
    <x v="3"/>
    <x v="9"/>
    <x v="2"/>
  </r>
  <r>
    <s v="TX501672"/>
    <x v="5"/>
    <x v="2"/>
    <n v="28.3"/>
    <n v="84.9"/>
    <x v="61"/>
    <d v="2025-03-05T00:00:00"/>
    <x v="1"/>
    <x v="4"/>
    <x v="0"/>
    <x v="0"/>
    <x v="19"/>
    <x v="1"/>
    <x v="9"/>
    <x v="1"/>
  </r>
  <r>
    <s v="TX501673"/>
    <x v="6"/>
    <x v="2"/>
    <n v="42.3"/>
    <n v="126.89999999999999"/>
    <x v="61"/>
    <d v="2025-03-03T00:00:00"/>
    <x v="2"/>
    <x v="2"/>
    <x v="1"/>
    <x v="0"/>
    <x v="19"/>
    <x v="7"/>
    <x v="9"/>
    <x v="2"/>
  </r>
  <r>
    <s v="TX501674"/>
    <x v="2"/>
    <x v="8"/>
    <n v="163.30000000000001"/>
    <n v="1306.4000000000001"/>
    <x v="62"/>
    <d v="2025-03-05T00:00:00"/>
    <x v="2"/>
    <x v="1"/>
    <x v="0"/>
    <x v="0"/>
    <x v="13"/>
    <x v="3"/>
    <x v="9"/>
    <x v="2"/>
  </r>
  <r>
    <s v="TX501675"/>
    <x v="6"/>
    <x v="3"/>
    <n v="47.3"/>
    <n v="331.09999999999997"/>
    <x v="62"/>
    <d v="2025-03-07T00:00:00"/>
    <x v="2"/>
    <x v="4"/>
    <x v="1"/>
    <x v="0"/>
    <x v="21"/>
    <x v="2"/>
    <x v="9"/>
    <x v="2"/>
  </r>
  <r>
    <s v="TX501676"/>
    <x v="8"/>
    <x v="27"/>
    <n v="27.3"/>
    <n v="436.8"/>
    <x v="62"/>
    <d v="2025-03-05T00:00:00"/>
    <x v="2"/>
    <x v="2"/>
    <x v="0"/>
    <x v="0"/>
    <x v="21"/>
    <x v="3"/>
    <x v="9"/>
    <x v="2"/>
  </r>
  <r>
    <s v="TX501677"/>
    <x v="10"/>
    <x v="13"/>
    <n v="34.9"/>
    <n v="209.39999999999998"/>
    <x v="62"/>
    <d v="2025-03-15T00:00:00"/>
    <x v="2"/>
    <x v="0"/>
    <x v="0"/>
    <x v="0"/>
    <x v="21"/>
    <x v="11"/>
    <x v="9"/>
    <x v="2"/>
  </r>
  <r>
    <s v="TX501678"/>
    <x v="6"/>
    <x v="1"/>
    <n v="53.9"/>
    <n v="107.8"/>
    <x v="62"/>
    <d v="2025-03-07T00:00:00"/>
    <x v="3"/>
    <x v="0"/>
    <x v="4"/>
    <x v="0"/>
    <x v="1"/>
    <x v="2"/>
    <x v="9"/>
    <x v="3"/>
  </r>
  <r>
    <s v="TX501679"/>
    <x v="2"/>
    <x v="1"/>
    <n v="87.2"/>
    <n v="174.4"/>
    <x v="62"/>
    <d v="2025-03-05T00:00:00"/>
    <x v="2"/>
    <x v="0"/>
    <x v="1"/>
    <x v="0"/>
    <x v="1"/>
    <x v="3"/>
    <x v="9"/>
    <x v="2"/>
  </r>
  <r>
    <s v="TX501680"/>
    <x v="15"/>
    <x v="0"/>
    <n v="58.8"/>
    <n v="58.8"/>
    <x v="62"/>
    <d v="2025-03-06T00:00:00"/>
    <x v="2"/>
    <x v="2"/>
    <x v="0"/>
    <x v="0"/>
    <x v="44"/>
    <x v="1"/>
    <x v="9"/>
    <x v="2"/>
  </r>
  <r>
    <s v="TX501681"/>
    <x v="2"/>
    <x v="3"/>
    <n v="125.5"/>
    <n v="878.5"/>
    <x v="62"/>
    <d v="2025-03-05T00:00:00"/>
    <x v="1"/>
    <x v="2"/>
    <x v="4"/>
    <x v="0"/>
    <x v="22"/>
    <x v="3"/>
    <x v="9"/>
    <x v="1"/>
  </r>
  <r>
    <s v="TX501682"/>
    <x v="1"/>
    <x v="12"/>
    <n v="124.6"/>
    <n v="498.4"/>
    <x v="62"/>
    <d v="2025-03-06T00:00:00"/>
    <x v="2"/>
    <x v="0"/>
    <x v="1"/>
    <x v="0"/>
    <x v="22"/>
    <x v="1"/>
    <x v="9"/>
    <x v="2"/>
  </r>
  <r>
    <s v="TX501683"/>
    <x v="1"/>
    <x v="3"/>
    <n v="39.9"/>
    <n v="279.3"/>
    <x v="62"/>
    <d v="2025-03-05T00:00:00"/>
    <x v="1"/>
    <x v="2"/>
    <x v="1"/>
    <x v="0"/>
    <x v="3"/>
    <x v="3"/>
    <x v="9"/>
    <x v="1"/>
  </r>
  <r>
    <s v="TX501684"/>
    <x v="6"/>
    <x v="0"/>
    <n v="94.6"/>
    <n v="94.6"/>
    <x v="62"/>
    <d v="2025-03-18T00:00:00"/>
    <x v="2"/>
    <x v="0"/>
    <x v="1"/>
    <x v="0"/>
    <x v="3"/>
    <x v="12"/>
    <x v="9"/>
    <x v="2"/>
  </r>
  <r>
    <s v="TX501685"/>
    <x v="2"/>
    <x v="1"/>
    <n v="149.6"/>
    <n v="299.2"/>
    <x v="62"/>
    <d v="2025-03-05T00:00:00"/>
    <x v="2"/>
    <x v="0"/>
    <x v="0"/>
    <x v="0"/>
    <x v="3"/>
    <x v="3"/>
    <x v="9"/>
    <x v="2"/>
  </r>
  <r>
    <s v="TX501686"/>
    <x v="8"/>
    <x v="0"/>
    <n v="52.2"/>
    <n v="52.2"/>
    <x v="62"/>
    <d v="2025-03-05T00:00:00"/>
    <x v="0"/>
    <x v="1"/>
    <x v="0"/>
    <x v="0"/>
    <x v="3"/>
    <x v="3"/>
    <x v="9"/>
    <x v="0"/>
  </r>
  <r>
    <s v="TX501687"/>
    <x v="6"/>
    <x v="1"/>
    <n v="96.5"/>
    <n v="193"/>
    <x v="62"/>
    <d v="2025-03-05T00:00:00"/>
    <x v="2"/>
    <x v="1"/>
    <x v="1"/>
    <x v="0"/>
    <x v="3"/>
    <x v="3"/>
    <x v="9"/>
    <x v="2"/>
  </r>
  <r>
    <s v="TX501688"/>
    <x v="8"/>
    <x v="1"/>
    <n v="79.8"/>
    <n v="159.6"/>
    <x v="62"/>
    <d v="2025-03-06T00:00:00"/>
    <x v="2"/>
    <x v="0"/>
    <x v="1"/>
    <x v="0"/>
    <x v="3"/>
    <x v="1"/>
    <x v="9"/>
    <x v="2"/>
  </r>
  <r>
    <s v="TX501689"/>
    <x v="8"/>
    <x v="2"/>
    <n v="35.6"/>
    <n v="106.80000000000001"/>
    <x v="62"/>
    <d v="2025-03-05T00:00:00"/>
    <x v="2"/>
    <x v="2"/>
    <x v="0"/>
    <x v="0"/>
    <x v="3"/>
    <x v="3"/>
    <x v="9"/>
    <x v="2"/>
  </r>
  <r>
    <s v="TX501690"/>
    <x v="16"/>
    <x v="0"/>
    <n v="50.2"/>
    <n v="50.2"/>
    <x v="62"/>
    <d v="2025-03-05T00:00:00"/>
    <x v="2"/>
    <x v="1"/>
    <x v="2"/>
    <x v="0"/>
    <x v="3"/>
    <x v="3"/>
    <x v="9"/>
    <x v="2"/>
  </r>
  <r>
    <s v="TX501691"/>
    <x v="1"/>
    <x v="2"/>
    <n v="55.3"/>
    <n v="165.89999999999998"/>
    <x v="62"/>
    <d v="2025-03-07T00:00:00"/>
    <x v="2"/>
    <x v="0"/>
    <x v="4"/>
    <x v="0"/>
    <x v="40"/>
    <x v="2"/>
    <x v="9"/>
    <x v="2"/>
  </r>
  <r>
    <s v="TX501692"/>
    <x v="6"/>
    <x v="3"/>
    <n v="104.5"/>
    <n v="731.5"/>
    <x v="62"/>
    <d v="2025-03-08T00:00:00"/>
    <x v="2"/>
    <x v="1"/>
    <x v="0"/>
    <x v="0"/>
    <x v="7"/>
    <x v="5"/>
    <x v="9"/>
    <x v="2"/>
  </r>
  <r>
    <s v="TX501693"/>
    <x v="6"/>
    <x v="12"/>
    <n v="66.5"/>
    <n v="266"/>
    <x v="62"/>
    <d v="2025-03-06T00:00:00"/>
    <x v="1"/>
    <x v="1"/>
    <x v="0"/>
    <x v="0"/>
    <x v="7"/>
    <x v="1"/>
    <x v="9"/>
    <x v="1"/>
  </r>
  <r>
    <s v="TX501694"/>
    <x v="10"/>
    <x v="8"/>
    <n v="38.299999999999997"/>
    <n v="306.39999999999998"/>
    <x v="62"/>
    <d v="2025-03-05T00:00:00"/>
    <x v="2"/>
    <x v="0"/>
    <x v="0"/>
    <x v="0"/>
    <x v="7"/>
    <x v="3"/>
    <x v="9"/>
    <x v="2"/>
  </r>
  <r>
    <s v="TX501695"/>
    <x v="6"/>
    <x v="2"/>
    <n v="63.8"/>
    <n v="191.39999999999998"/>
    <x v="62"/>
    <d v="2025-03-07T00:00:00"/>
    <x v="2"/>
    <x v="1"/>
    <x v="0"/>
    <x v="0"/>
    <x v="8"/>
    <x v="2"/>
    <x v="9"/>
    <x v="2"/>
  </r>
  <r>
    <s v="TX501696"/>
    <x v="15"/>
    <x v="0"/>
    <n v="21.4"/>
    <n v="21.4"/>
    <x v="62"/>
    <d v="2025-03-04T00:00:00"/>
    <x v="1"/>
    <x v="4"/>
    <x v="0"/>
    <x v="0"/>
    <x v="8"/>
    <x v="7"/>
    <x v="9"/>
    <x v="1"/>
  </r>
  <r>
    <s v="TX501697"/>
    <x v="8"/>
    <x v="12"/>
    <n v="44.1"/>
    <n v="176.4"/>
    <x v="62"/>
    <d v="2025-03-06T00:00:00"/>
    <x v="2"/>
    <x v="2"/>
    <x v="0"/>
    <x v="0"/>
    <x v="8"/>
    <x v="1"/>
    <x v="9"/>
    <x v="2"/>
  </r>
  <r>
    <s v="TX501698"/>
    <x v="5"/>
    <x v="8"/>
    <n v="57.6"/>
    <n v="460.8"/>
    <x v="62"/>
    <d v="2025-03-06T00:00:00"/>
    <x v="1"/>
    <x v="1"/>
    <x v="2"/>
    <x v="0"/>
    <x v="8"/>
    <x v="1"/>
    <x v="9"/>
    <x v="1"/>
  </r>
  <r>
    <s v="TX501699"/>
    <x v="9"/>
    <x v="1"/>
    <n v="20.3"/>
    <n v="40.6"/>
    <x v="62"/>
    <d v="2025-03-10T00:00:00"/>
    <x v="2"/>
    <x v="3"/>
    <x v="0"/>
    <x v="0"/>
    <x v="8"/>
    <x v="4"/>
    <x v="9"/>
    <x v="2"/>
  </r>
  <r>
    <s v="TX501700"/>
    <x v="8"/>
    <x v="0"/>
    <n v="22.9"/>
    <n v="22.9"/>
    <x v="62"/>
    <d v="2025-03-06T00:00:00"/>
    <x v="2"/>
    <x v="2"/>
    <x v="2"/>
    <x v="0"/>
    <x v="8"/>
    <x v="1"/>
    <x v="9"/>
    <x v="2"/>
  </r>
  <r>
    <s v="TX501701"/>
    <x v="6"/>
    <x v="12"/>
    <n v="105.9"/>
    <n v="423.6"/>
    <x v="62"/>
    <d v="2025-03-05T00:00:00"/>
    <x v="2"/>
    <x v="1"/>
    <x v="2"/>
    <x v="0"/>
    <x v="17"/>
    <x v="3"/>
    <x v="9"/>
    <x v="2"/>
  </r>
  <r>
    <s v="TX501702"/>
    <x v="1"/>
    <x v="11"/>
    <n v="37.4"/>
    <n v="336.59999999999997"/>
    <x v="62"/>
    <d v="2025-03-08T00:00:00"/>
    <x v="1"/>
    <x v="1"/>
    <x v="0"/>
    <x v="0"/>
    <x v="11"/>
    <x v="5"/>
    <x v="9"/>
    <x v="1"/>
  </r>
  <r>
    <s v="TX501703"/>
    <x v="18"/>
    <x v="1"/>
    <n v="79"/>
    <n v="158"/>
    <x v="62"/>
    <d v="2025-03-05T00:00:00"/>
    <x v="1"/>
    <x v="2"/>
    <x v="0"/>
    <x v="0"/>
    <x v="28"/>
    <x v="3"/>
    <x v="9"/>
    <x v="1"/>
  </r>
  <r>
    <s v="TX501704"/>
    <x v="0"/>
    <x v="2"/>
    <n v="19.3"/>
    <n v="57.900000000000006"/>
    <x v="62"/>
    <d v="2025-03-05T00:00:00"/>
    <x v="2"/>
    <x v="4"/>
    <x v="0"/>
    <x v="0"/>
    <x v="21"/>
    <x v="3"/>
    <x v="9"/>
    <x v="2"/>
  </r>
  <r>
    <s v="TX501705"/>
    <x v="0"/>
    <x v="0"/>
    <n v="24"/>
    <n v="24"/>
    <x v="62"/>
    <d v="2025-03-05T00:00:00"/>
    <x v="2"/>
    <x v="1"/>
    <x v="0"/>
    <x v="0"/>
    <x v="1"/>
    <x v="3"/>
    <x v="9"/>
    <x v="2"/>
  </r>
  <r>
    <s v="TX501706"/>
    <x v="6"/>
    <x v="9"/>
    <n v="71.3"/>
    <n v="356.5"/>
    <x v="62"/>
    <d v="2025-03-07T00:00:00"/>
    <x v="2"/>
    <x v="2"/>
    <x v="0"/>
    <x v="0"/>
    <x v="2"/>
    <x v="2"/>
    <x v="9"/>
    <x v="2"/>
  </r>
  <r>
    <s v="TX501707"/>
    <x v="5"/>
    <x v="1"/>
    <n v="166.2"/>
    <n v="332.4"/>
    <x v="62"/>
    <d v="2025-03-05T00:00:00"/>
    <x v="1"/>
    <x v="0"/>
    <x v="2"/>
    <x v="0"/>
    <x v="50"/>
    <x v="3"/>
    <x v="9"/>
    <x v="1"/>
  </r>
  <r>
    <s v="TX501708"/>
    <x v="6"/>
    <x v="0"/>
    <n v="81"/>
    <n v="81"/>
    <x v="62"/>
    <d v="2025-03-05T00:00:00"/>
    <x v="2"/>
    <x v="2"/>
    <x v="1"/>
    <x v="0"/>
    <x v="3"/>
    <x v="3"/>
    <x v="9"/>
    <x v="2"/>
  </r>
  <r>
    <s v="TX501709"/>
    <x v="10"/>
    <x v="13"/>
    <n v="38.5"/>
    <n v="231"/>
    <x v="62"/>
    <d v="2025-03-08T00:00:00"/>
    <x v="2"/>
    <x v="0"/>
    <x v="0"/>
    <x v="0"/>
    <x v="3"/>
    <x v="5"/>
    <x v="9"/>
    <x v="2"/>
  </r>
  <r>
    <s v="TX501710"/>
    <x v="6"/>
    <x v="0"/>
    <n v="86.1"/>
    <n v="86.1"/>
    <x v="62"/>
    <d v="2025-03-06T00:00:00"/>
    <x v="2"/>
    <x v="3"/>
    <x v="0"/>
    <x v="0"/>
    <x v="3"/>
    <x v="1"/>
    <x v="9"/>
    <x v="2"/>
  </r>
  <r>
    <s v="TX501711"/>
    <x v="2"/>
    <x v="9"/>
    <n v="51"/>
    <n v="255"/>
    <x v="62"/>
    <d v="2025-03-05T00:00:00"/>
    <x v="1"/>
    <x v="0"/>
    <x v="1"/>
    <x v="0"/>
    <x v="3"/>
    <x v="3"/>
    <x v="9"/>
    <x v="1"/>
  </r>
  <r>
    <s v="TX501712"/>
    <x v="3"/>
    <x v="9"/>
    <n v="115.4"/>
    <n v="577"/>
    <x v="62"/>
    <d v="2025-03-05T00:00:00"/>
    <x v="1"/>
    <x v="0"/>
    <x v="0"/>
    <x v="0"/>
    <x v="3"/>
    <x v="3"/>
    <x v="9"/>
    <x v="1"/>
  </r>
  <r>
    <s v="TX501713"/>
    <x v="6"/>
    <x v="12"/>
    <n v="176.5"/>
    <n v="706"/>
    <x v="62"/>
    <d v="2025-03-05T00:00:00"/>
    <x v="2"/>
    <x v="2"/>
    <x v="2"/>
    <x v="0"/>
    <x v="3"/>
    <x v="3"/>
    <x v="9"/>
    <x v="2"/>
  </r>
  <r>
    <s v="TX501714"/>
    <x v="7"/>
    <x v="2"/>
    <n v="48.9"/>
    <n v="146.69999999999999"/>
    <x v="62"/>
    <d v="2025-03-05T00:00:00"/>
    <x v="1"/>
    <x v="4"/>
    <x v="0"/>
    <x v="0"/>
    <x v="3"/>
    <x v="3"/>
    <x v="9"/>
    <x v="1"/>
  </r>
  <r>
    <s v="TX501715"/>
    <x v="8"/>
    <x v="2"/>
    <n v="18.100000000000001"/>
    <n v="54.300000000000004"/>
    <x v="62"/>
    <d v="2025-03-11T00:00:00"/>
    <x v="2"/>
    <x v="1"/>
    <x v="2"/>
    <x v="0"/>
    <x v="29"/>
    <x v="6"/>
    <x v="9"/>
    <x v="2"/>
  </r>
  <r>
    <s v="TX501716"/>
    <x v="2"/>
    <x v="1"/>
    <n v="118.5"/>
    <n v="237"/>
    <x v="62"/>
    <d v="2025-03-07T00:00:00"/>
    <x v="1"/>
    <x v="1"/>
    <x v="2"/>
    <x v="0"/>
    <x v="16"/>
    <x v="2"/>
    <x v="9"/>
    <x v="1"/>
  </r>
  <r>
    <s v="TX501717"/>
    <x v="15"/>
    <x v="3"/>
    <n v="59.1"/>
    <n v="413.7"/>
    <x v="62"/>
    <d v="2025-03-05T00:00:00"/>
    <x v="2"/>
    <x v="3"/>
    <x v="0"/>
    <x v="0"/>
    <x v="25"/>
    <x v="3"/>
    <x v="9"/>
    <x v="2"/>
  </r>
  <r>
    <s v="TX501718"/>
    <x v="4"/>
    <x v="0"/>
    <n v="21.2"/>
    <n v="21.2"/>
    <x v="62"/>
    <d v="2025-03-05T00:00:00"/>
    <x v="2"/>
    <x v="0"/>
    <x v="1"/>
    <x v="0"/>
    <x v="6"/>
    <x v="3"/>
    <x v="9"/>
    <x v="2"/>
  </r>
  <r>
    <s v="TX501719"/>
    <x v="6"/>
    <x v="1"/>
    <n v="68.8"/>
    <n v="137.6"/>
    <x v="62"/>
    <d v="2025-03-09T00:00:00"/>
    <x v="2"/>
    <x v="3"/>
    <x v="2"/>
    <x v="0"/>
    <x v="6"/>
    <x v="0"/>
    <x v="9"/>
    <x v="2"/>
  </r>
  <r>
    <s v="TX501720"/>
    <x v="6"/>
    <x v="1"/>
    <n v="65.400000000000006"/>
    <n v="130.80000000000001"/>
    <x v="62"/>
    <d v="2025-03-08T00:00:00"/>
    <x v="2"/>
    <x v="0"/>
    <x v="0"/>
    <x v="0"/>
    <x v="6"/>
    <x v="5"/>
    <x v="9"/>
    <x v="2"/>
  </r>
  <r>
    <s v="TX501721"/>
    <x v="12"/>
    <x v="9"/>
    <n v="66.3"/>
    <n v="331.5"/>
    <x v="63"/>
    <d v="2025-03-08T00:00:00"/>
    <x v="2"/>
    <x v="4"/>
    <x v="0"/>
    <x v="0"/>
    <x v="6"/>
    <x v="2"/>
    <x v="9"/>
    <x v="2"/>
  </r>
  <r>
    <s v="TX501722"/>
    <x v="6"/>
    <x v="2"/>
    <n v="97.5"/>
    <n v="292.5"/>
    <x v="63"/>
    <d v="2025-03-05T00:00:00"/>
    <x v="1"/>
    <x v="3"/>
    <x v="0"/>
    <x v="0"/>
    <x v="8"/>
    <x v="7"/>
    <x v="9"/>
    <x v="1"/>
  </r>
  <r>
    <s v="TX501723"/>
    <x v="1"/>
    <x v="1"/>
    <n v="44"/>
    <n v="88"/>
    <x v="63"/>
    <d v="2025-03-08T00:00:00"/>
    <x v="2"/>
    <x v="1"/>
    <x v="2"/>
    <x v="0"/>
    <x v="8"/>
    <x v="2"/>
    <x v="9"/>
    <x v="2"/>
  </r>
  <r>
    <s v="TX501724"/>
    <x v="0"/>
    <x v="0"/>
    <n v="21.9"/>
    <n v="21.9"/>
    <x v="63"/>
    <d v="2025-03-06T00:00:00"/>
    <x v="1"/>
    <x v="0"/>
    <x v="0"/>
    <x v="0"/>
    <x v="8"/>
    <x v="3"/>
    <x v="9"/>
    <x v="1"/>
  </r>
  <r>
    <s v="TX501725"/>
    <x v="4"/>
    <x v="3"/>
    <n v="21.5"/>
    <n v="150.5"/>
    <x v="63"/>
    <d v="2025-03-07T00:00:00"/>
    <x v="2"/>
    <x v="1"/>
    <x v="2"/>
    <x v="0"/>
    <x v="9"/>
    <x v="1"/>
    <x v="9"/>
    <x v="2"/>
  </r>
  <r>
    <s v="TX501726"/>
    <x v="12"/>
    <x v="13"/>
    <n v="133"/>
    <n v="798"/>
    <x v="63"/>
    <d v="2025-03-06T00:00:00"/>
    <x v="3"/>
    <x v="0"/>
    <x v="2"/>
    <x v="0"/>
    <x v="10"/>
    <x v="3"/>
    <x v="9"/>
    <x v="3"/>
  </r>
  <r>
    <s v="TX501727"/>
    <x v="8"/>
    <x v="1"/>
    <n v="47.7"/>
    <n v="95.4"/>
    <x v="63"/>
    <d v="2025-03-09T00:00:00"/>
    <x v="1"/>
    <x v="0"/>
    <x v="2"/>
    <x v="0"/>
    <x v="10"/>
    <x v="5"/>
    <x v="9"/>
    <x v="1"/>
  </r>
  <r>
    <s v="TX501728"/>
    <x v="16"/>
    <x v="2"/>
    <n v="58.1"/>
    <n v="174.3"/>
    <x v="63"/>
    <d v="2025-03-06T00:00:00"/>
    <x v="2"/>
    <x v="0"/>
    <x v="0"/>
    <x v="0"/>
    <x v="11"/>
    <x v="3"/>
    <x v="9"/>
    <x v="2"/>
  </r>
  <r>
    <s v="TX501729"/>
    <x v="12"/>
    <x v="12"/>
    <n v="66.599999999999994"/>
    <n v="266.39999999999998"/>
    <x v="63"/>
    <d v="2025-03-06T00:00:00"/>
    <x v="0"/>
    <x v="0"/>
    <x v="0"/>
    <x v="0"/>
    <x v="11"/>
    <x v="3"/>
    <x v="9"/>
    <x v="0"/>
  </r>
  <r>
    <s v="TX501730"/>
    <x v="9"/>
    <x v="0"/>
    <n v="24.1"/>
    <n v="24.1"/>
    <x v="63"/>
    <d v="2025-03-08T00:00:00"/>
    <x v="1"/>
    <x v="2"/>
    <x v="1"/>
    <x v="0"/>
    <x v="19"/>
    <x v="2"/>
    <x v="9"/>
    <x v="1"/>
  </r>
  <r>
    <s v="TX501731"/>
    <x v="10"/>
    <x v="9"/>
    <n v="51.5"/>
    <n v="257.5"/>
    <x v="63"/>
    <d v="2025-03-10T00:00:00"/>
    <x v="2"/>
    <x v="0"/>
    <x v="0"/>
    <x v="0"/>
    <x v="13"/>
    <x v="0"/>
    <x v="9"/>
    <x v="2"/>
  </r>
  <r>
    <s v="TX501732"/>
    <x v="0"/>
    <x v="5"/>
    <n v="25.8"/>
    <n v="283.8"/>
    <x v="63"/>
    <d v="2025-03-09T00:00:00"/>
    <x v="2"/>
    <x v="3"/>
    <x v="4"/>
    <x v="0"/>
    <x v="21"/>
    <x v="5"/>
    <x v="9"/>
    <x v="2"/>
  </r>
  <r>
    <s v="TX501733"/>
    <x v="9"/>
    <x v="12"/>
    <n v="47.7"/>
    <n v="190.8"/>
    <x v="63"/>
    <d v="2025-03-05T00:00:00"/>
    <x v="2"/>
    <x v="0"/>
    <x v="1"/>
    <x v="0"/>
    <x v="21"/>
    <x v="7"/>
    <x v="9"/>
    <x v="2"/>
  </r>
  <r>
    <s v="TX501734"/>
    <x v="7"/>
    <x v="9"/>
    <n v="73.599999999999994"/>
    <n v="368"/>
    <x v="63"/>
    <d v="2025-03-09T00:00:00"/>
    <x v="1"/>
    <x v="1"/>
    <x v="0"/>
    <x v="0"/>
    <x v="21"/>
    <x v="5"/>
    <x v="9"/>
    <x v="1"/>
  </r>
  <r>
    <s v="TX501735"/>
    <x v="5"/>
    <x v="3"/>
    <n v="91.2"/>
    <n v="638.4"/>
    <x v="63"/>
    <d v="2025-03-06T00:00:00"/>
    <x v="1"/>
    <x v="1"/>
    <x v="2"/>
    <x v="0"/>
    <x v="21"/>
    <x v="3"/>
    <x v="9"/>
    <x v="1"/>
  </r>
  <r>
    <s v="TX501736"/>
    <x v="1"/>
    <x v="8"/>
    <n v="36.200000000000003"/>
    <n v="289.60000000000002"/>
    <x v="63"/>
    <d v="2025-03-05T00:00:00"/>
    <x v="1"/>
    <x v="2"/>
    <x v="2"/>
    <x v="0"/>
    <x v="1"/>
    <x v="7"/>
    <x v="9"/>
    <x v="1"/>
  </r>
  <r>
    <s v="TX501737"/>
    <x v="9"/>
    <x v="8"/>
    <n v="98"/>
    <n v="784"/>
    <x v="63"/>
    <d v="2025-03-09T00:00:00"/>
    <x v="2"/>
    <x v="2"/>
    <x v="0"/>
    <x v="0"/>
    <x v="2"/>
    <x v="5"/>
    <x v="9"/>
    <x v="2"/>
  </r>
  <r>
    <s v="TX501738"/>
    <x v="1"/>
    <x v="8"/>
    <n v="43.6"/>
    <n v="348.8"/>
    <x v="63"/>
    <d v="2025-03-06T00:00:00"/>
    <x v="2"/>
    <x v="2"/>
    <x v="0"/>
    <x v="0"/>
    <x v="22"/>
    <x v="3"/>
    <x v="9"/>
    <x v="2"/>
  </r>
  <r>
    <s v="TX501739"/>
    <x v="8"/>
    <x v="7"/>
    <n v="37.799999999999997"/>
    <n v="378"/>
    <x v="63"/>
    <d v="2025-03-05T00:00:00"/>
    <x v="3"/>
    <x v="0"/>
    <x v="0"/>
    <x v="0"/>
    <x v="50"/>
    <x v="7"/>
    <x v="9"/>
    <x v="3"/>
  </r>
  <r>
    <s v="TX501740"/>
    <x v="17"/>
    <x v="9"/>
    <n v="63.7"/>
    <n v="318.5"/>
    <x v="63"/>
    <d v="2025-03-08T00:00:00"/>
    <x v="2"/>
    <x v="2"/>
    <x v="1"/>
    <x v="0"/>
    <x v="3"/>
    <x v="2"/>
    <x v="9"/>
    <x v="2"/>
  </r>
  <r>
    <s v="TX501741"/>
    <x v="5"/>
    <x v="11"/>
    <n v="62.9"/>
    <n v="566.1"/>
    <x v="63"/>
    <d v="2025-03-10T00:00:00"/>
    <x v="1"/>
    <x v="3"/>
    <x v="2"/>
    <x v="0"/>
    <x v="3"/>
    <x v="0"/>
    <x v="9"/>
    <x v="1"/>
  </r>
  <r>
    <s v="TX501742"/>
    <x v="6"/>
    <x v="3"/>
    <n v="61.7"/>
    <n v="431.90000000000003"/>
    <x v="63"/>
    <d v="2025-03-08T00:00:00"/>
    <x v="2"/>
    <x v="2"/>
    <x v="2"/>
    <x v="0"/>
    <x v="3"/>
    <x v="2"/>
    <x v="9"/>
    <x v="2"/>
  </r>
  <r>
    <s v="TX501743"/>
    <x v="18"/>
    <x v="21"/>
    <n v="36.5"/>
    <n v="511"/>
    <x v="63"/>
    <d v="2025-03-06T00:00:00"/>
    <x v="1"/>
    <x v="0"/>
    <x v="2"/>
    <x v="0"/>
    <x v="3"/>
    <x v="3"/>
    <x v="9"/>
    <x v="1"/>
  </r>
  <r>
    <s v="TX501744"/>
    <x v="11"/>
    <x v="2"/>
    <n v="98.6"/>
    <n v="295.79999999999995"/>
    <x v="63"/>
    <d v="2025-03-08T00:00:00"/>
    <x v="3"/>
    <x v="0"/>
    <x v="4"/>
    <x v="0"/>
    <x v="3"/>
    <x v="2"/>
    <x v="9"/>
    <x v="3"/>
  </r>
  <r>
    <s v="TX501745"/>
    <x v="8"/>
    <x v="1"/>
    <n v="19.2"/>
    <n v="38.4"/>
    <x v="63"/>
    <d v="2025-03-15T00:00:00"/>
    <x v="1"/>
    <x v="0"/>
    <x v="0"/>
    <x v="0"/>
    <x v="3"/>
    <x v="14"/>
    <x v="9"/>
    <x v="1"/>
  </r>
  <r>
    <s v="TX501746"/>
    <x v="3"/>
    <x v="13"/>
    <n v="55.6"/>
    <n v="333.6"/>
    <x v="63"/>
    <d v="2025-03-09T00:00:00"/>
    <x v="2"/>
    <x v="0"/>
    <x v="2"/>
    <x v="0"/>
    <x v="3"/>
    <x v="5"/>
    <x v="9"/>
    <x v="2"/>
  </r>
  <r>
    <s v="TX501747"/>
    <x v="5"/>
    <x v="13"/>
    <n v="56.4"/>
    <n v="338.4"/>
    <x v="63"/>
    <d v="2025-03-06T00:00:00"/>
    <x v="2"/>
    <x v="1"/>
    <x v="0"/>
    <x v="0"/>
    <x v="3"/>
    <x v="3"/>
    <x v="9"/>
    <x v="2"/>
  </r>
  <r>
    <s v="TX501748"/>
    <x v="4"/>
    <x v="8"/>
    <n v="43.1"/>
    <n v="344.8"/>
    <x v="63"/>
    <d v="2025-03-09T00:00:00"/>
    <x v="2"/>
    <x v="4"/>
    <x v="0"/>
    <x v="0"/>
    <x v="3"/>
    <x v="5"/>
    <x v="9"/>
    <x v="2"/>
  </r>
  <r>
    <s v="TX501749"/>
    <x v="1"/>
    <x v="1"/>
    <n v="77.3"/>
    <n v="154.6"/>
    <x v="63"/>
    <d v="2025-03-07T00:00:00"/>
    <x v="1"/>
    <x v="0"/>
    <x v="0"/>
    <x v="0"/>
    <x v="6"/>
    <x v="1"/>
    <x v="9"/>
    <x v="1"/>
  </r>
  <r>
    <s v="TX501750"/>
    <x v="9"/>
    <x v="8"/>
    <n v="38.299999999999997"/>
    <n v="306.39999999999998"/>
    <x v="63"/>
    <d v="2025-03-06T00:00:00"/>
    <x v="1"/>
    <x v="0"/>
    <x v="0"/>
    <x v="0"/>
    <x v="7"/>
    <x v="3"/>
    <x v="9"/>
    <x v="1"/>
  </r>
  <r>
    <s v="TX501751"/>
    <x v="0"/>
    <x v="3"/>
    <n v="16.8"/>
    <n v="117.60000000000001"/>
    <x v="63"/>
    <d v="2025-03-08T00:00:00"/>
    <x v="1"/>
    <x v="2"/>
    <x v="1"/>
    <x v="0"/>
    <x v="8"/>
    <x v="2"/>
    <x v="9"/>
    <x v="1"/>
  </r>
  <r>
    <s v="TX501752"/>
    <x v="2"/>
    <x v="2"/>
    <n v="63.2"/>
    <n v="189.60000000000002"/>
    <x v="63"/>
    <d v="2025-03-06T00:00:00"/>
    <x v="2"/>
    <x v="0"/>
    <x v="2"/>
    <x v="0"/>
    <x v="8"/>
    <x v="3"/>
    <x v="9"/>
    <x v="2"/>
  </r>
  <r>
    <s v="TX501753"/>
    <x v="14"/>
    <x v="44"/>
    <n v="39.700000000000003"/>
    <n v="913.1"/>
    <x v="63"/>
    <d v="2025-03-06T00:00:00"/>
    <x v="1"/>
    <x v="0"/>
    <x v="0"/>
    <x v="0"/>
    <x v="8"/>
    <x v="3"/>
    <x v="9"/>
    <x v="1"/>
  </r>
  <r>
    <s v="TX501754"/>
    <x v="10"/>
    <x v="2"/>
    <n v="45.8"/>
    <n v="137.39999999999998"/>
    <x v="63"/>
    <d v="2025-03-06T00:00:00"/>
    <x v="2"/>
    <x v="1"/>
    <x v="2"/>
    <x v="0"/>
    <x v="8"/>
    <x v="3"/>
    <x v="9"/>
    <x v="2"/>
  </r>
  <r>
    <s v="TX501755"/>
    <x v="0"/>
    <x v="13"/>
    <n v="12.4"/>
    <n v="74.400000000000006"/>
    <x v="63"/>
    <d v="2025-03-08T00:00:00"/>
    <x v="1"/>
    <x v="0"/>
    <x v="0"/>
    <x v="0"/>
    <x v="8"/>
    <x v="2"/>
    <x v="9"/>
    <x v="1"/>
  </r>
  <r>
    <s v="TX501756"/>
    <x v="14"/>
    <x v="2"/>
    <n v="50.8"/>
    <n v="152.39999999999998"/>
    <x v="64"/>
    <d v="2025-03-06T00:00:00"/>
    <x v="2"/>
    <x v="4"/>
    <x v="0"/>
    <x v="0"/>
    <x v="17"/>
    <x v="7"/>
    <x v="9"/>
    <x v="2"/>
  </r>
  <r>
    <s v="TX501757"/>
    <x v="9"/>
    <x v="0"/>
    <n v="76"/>
    <n v="76"/>
    <x v="64"/>
    <d v="2025-03-10T00:00:00"/>
    <x v="3"/>
    <x v="2"/>
    <x v="2"/>
    <x v="0"/>
    <x v="17"/>
    <x v="5"/>
    <x v="9"/>
    <x v="3"/>
  </r>
  <r>
    <s v="TX501758"/>
    <x v="1"/>
    <x v="1"/>
    <n v="51.9"/>
    <n v="103.8"/>
    <x v="64"/>
    <d v="2025-03-07T00:00:00"/>
    <x v="1"/>
    <x v="1"/>
    <x v="2"/>
    <x v="0"/>
    <x v="26"/>
    <x v="3"/>
    <x v="9"/>
    <x v="1"/>
  </r>
  <r>
    <s v="TX501759"/>
    <x v="2"/>
    <x v="1"/>
    <n v="93.4"/>
    <n v="186.8"/>
    <x v="64"/>
    <d v="2025-03-13T00:00:00"/>
    <x v="1"/>
    <x v="0"/>
    <x v="3"/>
    <x v="0"/>
    <x v="11"/>
    <x v="6"/>
    <x v="9"/>
    <x v="1"/>
  </r>
  <r>
    <s v="TX501760"/>
    <x v="7"/>
    <x v="13"/>
    <n v="30.8"/>
    <n v="184.8"/>
    <x v="64"/>
    <d v="2025-03-09T00:00:00"/>
    <x v="2"/>
    <x v="1"/>
    <x v="0"/>
    <x v="0"/>
    <x v="11"/>
    <x v="2"/>
    <x v="9"/>
    <x v="2"/>
  </r>
  <r>
    <s v="TX501761"/>
    <x v="2"/>
    <x v="0"/>
    <n v="143.19999999999999"/>
    <n v="143.19999999999999"/>
    <x v="64"/>
    <d v="2025-03-09T00:00:00"/>
    <x v="1"/>
    <x v="2"/>
    <x v="0"/>
    <x v="0"/>
    <x v="11"/>
    <x v="2"/>
    <x v="9"/>
    <x v="1"/>
  </r>
  <r>
    <s v="TX501762"/>
    <x v="6"/>
    <x v="5"/>
    <n v="40.4"/>
    <n v="444.4"/>
    <x v="64"/>
    <d v="2025-03-08T00:00:00"/>
    <x v="1"/>
    <x v="2"/>
    <x v="2"/>
    <x v="0"/>
    <x v="18"/>
    <x v="1"/>
    <x v="9"/>
    <x v="1"/>
  </r>
  <r>
    <s v="TX501763"/>
    <x v="2"/>
    <x v="10"/>
    <n v="131.5"/>
    <n v="2498.5"/>
    <x v="64"/>
    <d v="2025-03-08T00:00:00"/>
    <x v="1"/>
    <x v="1"/>
    <x v="1"/>
    <x v="0"/>
    <x v="18"/>
    <x v="1"/>
    <x v="9"/>
    <x v="1"/>
  </r>
  <r>
    <s v="TX501764"/>
    <x v="18"/>
    <x v="3"/>
    <n v="61.6"/>
    <n v="431.2"/>
    <x v="64"/>
    <d v="2025-03-07T00:00:00"/>
    <x v="1"/>
    <x v="2"/>
    <x v="0"/>
    <x v="0"/>
    <x v="21"/>
    <x v="3"/>
    <x v="9"/>
    <x v="1"/>
  </r>
  <r>
    <s v="TX501765"/>
    <x v="9"/>
    <x v="9"/>
    <n v="32.700000000000003"/>
    <n v="163.5"/>
    <x v="64"/>
    <d v="2025-03-08T00:00:00"/>
    <x v="1"/>
    <x v="2"/>
    <x v="0"/>
    <x v="0"/>
    <x v="1"/>
    <x v="1"/>
    <x v="9"/>
    <x v="1"/>
  </r>
  <r>
    <s v="TX501766"/>
    <x v="0"/>
    <x v="7"/>
    <n v="13.7"/>
    <n v="137"/>
    <x v="64"/>
    <d v="2025-03-07T00:00:00"/>
    <x v="1"/>
    <x v="0"/>
    <x v="2"/>
    <x v="0"/>
    <x v="3"/>
    <x v="3"/>
    <x v="9"/>
    <x v="1"/>
  </r>
  <r>
    <s v="TX501767"/>
    <x v="0"/>
    <x v="12"/>
    <n v="32.1"/>
    <n v="128.4"/>
    <x v="64"/>
    <d v="2025-03-07T00:00:00"/>
    <x v="1"/>
    <x v="4"/>
    <x v="1"/>
    <x v="0"/>
    <x v="3"/>
    <x v="3"/>
    <x v="9"/>
    <x v="1"/>
  </r>
  <r>
    <s v="TX501768"/>
    <x v="14"/>
    <x v="8"/>
    <n v="12"/>
    <n v="96"/>
    <x v="64"/>
    <d v="2025-03-07T00:00:00"/>
    <x v="1"/>
    <x v="1"/>
    <x v="0"/>
    <x v="0"/>
    <x v="24"/>
    <x v="3"/>
    <x v="9"/>
    <x v="1"/>
  </r>
  <r>
    <s v="TX501769"/>
    <x v="12"/>
    <x v="0"/>
    <n v="64.3"/>
    <n v="64.3"/>
    <x v="64"/>
    <d v="2025-03-08T00:00:00"/>
    <x v="2"/>
    <x v="2"/>
    <x v="2"/>
    <x v="0"/>
    <x v="6"/>
    <x v="1"/>
    <x v="9"/>
    <x v="2"/>
  </r>
  <r>
    <s v="TX501770"/>
    <x v="1"/>
    <x v="2"/>
    <n v="58.2"/>
    <n v="174.60000000000002"/>
    <x v="64"/>
    <d v="2025-03-08T00:00:00"/>
    <x v="2"/>
    <x v="1"/>
    <x v="2"/>
    <x v="0"/>
    <x v="6"/>
    <x v="1"/>
    <x v="9"/>
    <x v="2"/>
  </r>
  <r>
    <s v="TX501771"/>
    <x v="6"/>
    <x v="12"/>
    <n v="59.2"/>
    <n v="236.8"/>
    <x v="64"/>
    <d v="2025-03-06T00:00:00"/>
    <x v="1"/>
    <x v="1"/>
    <x v="2"/>
    <x v="0"/>
    <x v="6"/>
    <x v="7"/>
    <x v="9"/>
    <x v="1"/>
  </r>
  <r>
    <s v="TX501772"/>
    <x v="10"/>
    <x v="5"/>
    <n v="35.6"/>
    <n v="391.6"/>
    <x v="64"/>
    <d v="2025-03-13T00:00:00"/>
    <x v="1"/>
    <x v="0"/>
    <x v="2"/>
    <x v="0"/>
    <x v="8"/>
    <x v="6"/>
    <x v="9"/>
    <x v="1"/>
  </r>
  <r>
    <s v="TX501773"/>
    <x v="16"/>
    <x v="8"/>
    <n v="37"/>
    <n v="296"/>
    <x v="64"/>
    <d v="2025-03-10T00:00:00"/>
    <x v="2"/>
    <x v="2"/>
    <x v="1"/>
    <x v="0"/>
    <x v="8"/>
    <x v="5"/>
    <x v="9"/>
    <x v="2"/>
  </r>
  <r>
    <s v="TX501774"/>
    <x v="1"/>
    <x v="15"/>
    <n v="80.8"/>
    <n v="1050.3999999999999"/>
    <x v="64"/>
    <d v="2025-03-08T00:00:00"/>
    <x v="2"/>
    <x v="0"/>
    <x v="0"/>
    <x v="0"/>
    <x v="8"/>
    <x v="1"/>
    <x v="9"/>
    <x v="2"/>
  </r>
  <r>
    <s v="TX501775"/>
    <x v="8"/>
    <x v="1"/>
    <n v="63.2"/>
    <n v="126.4"/>
    <x v="64"/>
    <d v="2025-03-07T00:00:00"/>
    <x v="1"/>
    <x v="0"/>
    <x v="1"/>
    <x v="0"/>
    <x v="8"/>
    <x v="3"/>
    <x v="9"/>
    <x v="1"/>
  </r>
  <r>
    <s v="TX501776"/>
    <x v="3"/>
    <x v="1"/>
    <n v="40.799999999999997"/>
    <n v="81.599999999999994"/>
    <x v="64"/>
    <d v="2025-03-08T00:00:00"/>
    <x v="1"/>
    <x v="0"/>
    <x v="1"/>
    <x v="0"/>
    <x v="17"/>
    <x v="1"/>
    <x v="9"/>
    <x v="1"/>
  </r>
  <r>
    <s v="TX501777"/>
    <x v="13"/>
    <x v="13"/>
    <n v="25.7"/>
    <n v="154.19999999999999"/>
    <x v="64"/>
    <d v="2025-03-08T00:00:00"/>
    <x v="1"/>
    <x v="4"/>
    <x v="0"/>
    <x v="0"/>
    <x v="18"/>
    <x v="1"/>
    <x v="9"/>
    <x v="1"/>
  </r>
  <r>
    <s v="TX501778"/>
    <x v="16"/>
    <x v="1"/>
    <n v="49.9"/>
    <n v="99.8"/>
    <x v="64"/>
    <d v="2025-03-09T00:00:00"/>
    <x v="1"/>
    <x v="0"/>
    <x v="0"/>
    <x v="0"/>
    <x v="20"/>
    <x v="2"/>
    <x v="9"/>
    <x v="1"/>
  </r>
  <r>
    <s v="TX501779"/>
    <x v="8"/>
    <x v="1"/>
    <n v="20.2"/>
    <n v="40.4"/>
    <x v="64"/>
    <d v="2025-03-08T00:00:00"/>
    <x v="2"/>
    <x v="3"/>
    <x v="0"/>
    <x v="0"/>
    <x v="21"/>
    <x v="1"/>
    <x v="9"/>
    <x v="2"/>
  </r>
  <r>
    <s v="TX501780"/>
    <x v="6"/>
    <x v="2"/>
    <n v="48.4"/>
    <n v="145.19999999999999"/>
    <x v="64"/>
    <d v="2025-03-11T00:00:00"/>
    <x v="2"/>
    <x v="0"/>
    <x v="2"/>
    <x v="0"/>
    <x v="21"/>
    <x v="0"/>
    <x v="9"/>
    <x v="2"/>
  </r>
  <r>
    <s v="TX501781"/>
    <x v="6"/>
    <x v="1"/>
    <n v="81"/>
    <n v="162"/>
    <x v="64"/>
    <d v="2025-03-07T00:00:00"/>
    <x v="2"/>
    <x v="1"/>
    <x v="2"/>
    <x v="0"/>
    <x v="21"/>
    <x v="3"/>
    <x v="9"/>
    <x v="2"/>
  </r>
  <r>
    <s v="TX501782"/>
    <x v="8"/>
    <x v="13"/>
    <n v="19.899999999999999"/>
    <n v="119.39999999999999"/>
    <x v="64"/>
    <d v="2025-03-09T00:00:00"/>
    <x v="2"/>
    <x v="0"/>
    <x v="1"/>
    <x v="0"/>
    <x v="22"/>
    <x v="2"/>
    <x v="9"/>
    <x v="2"/>
  </r>
  <r>
    <s v="TX501783"/>
    <x v="4"/>
    <x v="12"/>
    <n v="32.200000000000003"/>
    <n v="128.80000000000001"/>
    <x v="64"/>
    <d v="2025-03-16T00:00:00"/>
    <x v="1"/>
    <x v="0"/>
    <x v="0"/>
    <x v="0"/>
    <x v="22"/>
    <x v="14"/>
    <x v="9"/>
    <x v="1"/>
  </r>
  <r>
    <s v="TX501784"/>
    <x v="5"/>
    <x v="2"/>
    <n v="76.8"/>
    <n v="230.39999999999998"/>
    <x v="64"/>
    <d v="2025-03-07T00:00:00"/>
    <x v="2"/>
    <x v="0"/>
    <x v="1"/>
    <x v="0"/>
    <x v="3"/>
    <x v="3"/>
    <x v="9"/>
    <x v="2"/>
  </r>
  <r>
    <s v="TX501785"/>
    <x v="6"/>
    <x v="1"/>
    <n v="41.9"/>
    <n v="83.8"/>
    <x v="64"/>
    <d v="2025-03-08T00:00:00"/>
    <x v="2"/>
    <x v="0"/>
    <x v="0"/>
    <x v="0"/>
    <x v="3"/>
    <x v="1"/>
    <x v="9"/>
    <x v="2"/>
  </r>
  <r>
    <s v="TX501786"/>
    <x v="0"/>
    <x v="3"/>
    <n v="34"/>
    <n v="238"/>
    <x v="64"/>
    <d v="2025-03-08T00:00:00"/>
    <x v="2"/>
    <x v="1"/>
    <x v="2"/>
    <x v="0"/>
    <x v="3"/>
    <x v="1"/>
    <x v="9"/>
    <x v="2"/>
  </r>
  <r>
    <s v="TX501787"/>
    <x v="7"/>
    <x v="3"/>
    <n v="61.3"/>
    <n v="429.09999999999997"/>
    <x v="64"/>
    <d v="2025-03-06T00:00:00"/>
    <x v="2"/>
    <x v="4"/>
    <x v="2"/>
    <x v="0"/>
    <x v="3"/>
    <x v="7"/>
    <x v="9"/>
    <x v="2"/>
  </r>
  <r>
    <s v="TX501788"/>
    <x v="9"/>
    <x v="0"/>
    <n v="54.7"/>
    <n v="54.7"/>
    <x v="65"/>
    <d v="2025-03-08T00:00:00"/>
    <x v="1"/>
    <x v="0"/>
    <x v="1"/>
    <x v="0"/>
    <x v="3"/>
    <x v="3"/>
    <x v="9"/>
    <x v="1"/>
  </r>
  <r>
    <s v="TX501789"/>
    <x v="6"/>
    <x v="7"/>
    <n v="84.7"/>
    <n v="847"/>
    <x v="65"/>
    <d v="2025-03-11T00:00:00"/>
    <x v="2"/>
    <x v="0"/>
    <x v="0"/>
    <x v="0"/>
    <x v="3"/>
    <x v="5"/>
    <x v="9"/>
    <x v="2"/>
  </r>
  <r>
    <s v="TX501790"/>
    <x v="1"/>
    <x v="2"/>
    <n v="93.4"/>
    <n v="280.20000000000005"/>
    <x v="65"/>
    <d v="2025-03-11T00:00:00"/>
    <x v="2"/>
    <x v="3"/>
    <x v="0"/>
    <x v="0"/>
    <x v="3"/>
    <x v="5"/>
    <x v="9"/>
    <x v="2"/>
  </r>
  <r>
    <s v="TX501791"/>
    <x v="8"/>
    <x v="9"/>
    <n v="27"/>
    <n v="135"/>
    <x v="65"/>
    <d v="2025-03-10T00:00:00"/>
    <x v="1"/>
    <x v="0"/>
    <x v="1"/>
    <x v="0"/>
    <x v="3"/>
    <x v="2"/>
    <x v="9"/>
    <x v="1"/>
  </r>
  <r>
    <s v="TX501792"/>
    <x v="0"/>
    <x v="12"/>
    <n v="10.9"/>
    <n v="43.6"/>
    <x v="65"/>
    <d v="2025-03-08T00:00:00"/>
    <x v="1"/>
    <x v="2"/>
    <x v="0"/>
    <x v="0"/>
    <x v="3"/>
    <x v="3"/>
    <x v="9"/>
    <x v="1"/>
  </r>
  <r>
    <s v="TX501793"/>
    <x v="16"/>
    <x v="2"/>
    <n v="48"/>
    <n v="144"/>
    <x v="65"/>
    <d v="2025-03-12T00:00:00"/>
    <x v="2"/>
    <x v="4"/>
    <x v="0"/>
    <x v="0"/>
    <x v="3"/>
    <x v="0"/>
    <x v="9"/>
    <x v="2"/>
  </r>
  <r>
    <s v="TX501794"/>
    <x v="5"/>
    <x v="1"/>
    <n v="67.900000000000006"/>
    <n v="135.80000000000001"/>
    <x v="65"/>
    <d v="2025-03-08T00:00:00"/>
    <x v="1"/>
    <x v="0"/>
    <x v="2"/>
    <x v="0"/>
    <x v="23"/>
    <x v="3"/>
    <x v="9"/>
    <x v="1"/>
  </r>
  <r>
    <s v="TX501795"/>
    <x v="4"/>
    <x v="2"/>
    <n v="36"/>
    <n v="108"/>
    <x v="65"/>
    <d v="2025-03-08T00:00:00"/>
    <x v="1"/>
    <x v="1"/>
    <x v="0"/>
    <x v="0"/>
    <x v="6"/>
    <x v="3"/>
    <x v="9"/>
    <x v="1"/>
  </r>
  <r>
    <s v="TX501796"/>
    <x v="2"/>
    <x v="0"/>
    <n v="128.80000000000001"/>
    <n v="128.80000000000001"/>
    <x v="65"/>
    <d v="2025-03-08T00:00:00"/>
    <x v="1"/>
    <x v="4"/>
    <x v="2"/>
    <x v="0"/>
    <x v="6"/>
    <x v="3"/>
    <x v="9"/>
    <x v="1"/>
  </r>
  <r>
    <s v="TX501797"/>
    <x v="18"/>
    <x v="3"/>
    <n v="33.299999999999997"/>
    <n v="233.09999999999997"/>
    <x v="65"/>
    <d v="2025-03-08T00:00:00"/>
    <x v="2"/>
    <x v="3"/>
    <x v="0"/>
    <x v="0"/>
    <x v="8"/>
    <x v="3"/>
    <x v="9"/>
    <x v="2"/>
  </r>
  <r>
    <s v="TX501798"/>
    <x v="10"/>
    <x v="2"/>
    <n v="37.799999999999997"/>
    <n v="113.39999999999999"/>
    <x v="65"/>
    <d v="2025-03-09T00:00:00"/>
    <x v="1"/>
    <x v="1"/>
    <x v="2"/>
    <x v="0"/>
    <x v="8"/>
    <x v="1"/>
    <x v="9"/>
    <x v="1"/>
  </r>
  <r>
    <s v="TX501799"/>
    <x v="5"/>
    <x v="2"/>
    <n v="26"/>
    <n v="78"/>
    <x v="65"/>
    <d v="2025-03-12T00:00:00"/>
    <x v="2"/>
    <x v="0"/>
    <x v="0"/>
    <x v="0"/>
    <x v="8"/>
    <x v="0"/>
    <x v="9"/>
    <x v="2"/>
  </r>
  <r>
    <s v="TX501800"/>
    <x v="8"/>
    <x v="10"/>
    <n v="28.3"/>
    <n v="537.70000000000005"/>
    <x v="65"/>
    <d v="2025-03-08T00:00:00"/>
    <x v="2"/>
    <x v="3"/>
    <x v="4"/>
    <x v="0"/>
    <x v="8"/>
    <x v="3"/>
    <x v="9"/>
    <x v="2"/>
  </r>
  <r>
    <s v="TX501801"/>
    <x v="8"/>
    <x v="12"/>
    <n v="31.3"/>
    <n v="125.2"/>
    <x v="65"/>
    <d v="2025-03-07T00:00:00"/>
    <x v="2"/>
    <x v="0"/>
    <x v="0"/>
    <x v="0"/>
    <x v="8"/>
    <x v="7"/>
    <x v="9"/>
    <x v="2"/>
  </r>
  <r>
    <s v="TX501802"/>
    <x v="7"/>
    <x v="2"/>
    <n v="69.5"/>
    <n v="208.5"/>
    <x v="65"/>
    <d v="2025-03-08T00:00:00"/>
    <x v="2"/>
    <x v="3"/>
    <x v="2"/>
    <x v="0"/>
    <x v="8"/>
    <x v="3"/>
    <x v="9"/>
    <x v="2"/>
  </r>
  <r>
    <s v="TX501803"/>
    <x v="0"/>
    <x v="1"/>
    <n v="16.7"/>
    <n v="33.4"/>
    <x v="65"/>
    <d v="2025-03-08T00:00:00"/>
    <x v="2"/>
    <x v="3"/>
    <x v="1"/>
    <x v="0"/>
    <x v="8"/>
    <x v="3"/>
    <x v="9"/>
    <x v="2"/>
  </r>
  <r>
    <s v="TX501804"/>
    <x v="9"/>
    <x v="1"/>
    <n v="62.6"/>
    <n v="125.2"/>
    <x v="65"/>
    <d v="2025-03-08T00:00:00"/>
    <x v="1"/>
    <x v="2"/>
    <x v="2"/>
    <x v="0"/>
    <x v="9"/>
    <x v="3"/>
    <x v="9"/>
    <x v="1"/>
  </r>
  <r>
    <s v="TX501805"/>
    <x v="7"/>
    <x v="0"/>
    <n v="81.2"/>
    <n v="81.2"/>
    <x v="65"/>
    <d v="2025-03-13T00:00:00"/>
    <x v="1"/>
    <x v="4"/>
    <x v="4"/>
    <x v="0"/>
    <x v="9"/>
    <x v="4"/>
    <x v="9"/>
    <x v="1"/>
  </r>
  <r>
    <s v="TX501806"/>
    <x v="0"/>
    <x v="7"/>
    <n v="12.7"/>
    <n v="127"/>
    <x v="65"/>
    <d v="2025-03-08T00:00:00"/>
    <x v="2"/>
    <x v="0"/>
    <x v="2"/>
    <x v="0"/>
    <x v="9"/>
    <x v="3"/>
    <x v="9"/>
    <x v="2"/>
  </r>
  <r>
    <s v="TX501807"/>
    <x v="7"/>
    <x v="12"/>
    <n v="77.7"/>
    <n v="310.8"/>
    <x v="66"/>
    <d v="2025-03-12T00:00:00"/>
    <x v="1"/>
    <x v="1"/>
    <x v="0"/>
    <x v="0"/>
    <x v="11"/>
    <x v="5"/>
    <x v="9"/>
    <x v="1"/>
  </r>
  <r>
    <s v="TX501808"/>
    <x v="5"/>
    <x v="1"/>
    <n v="37.299999999999997"/>
    <n v="74.599999999999994"/>
    <x v="66"/>
    <d v="2025-03-09T00:00:00"/>
    <x v="2"/>
    <x v="0"/>
    <x v="2"/>
    <x v="0"/>
    <x v="18"/>
    <x v="3"/>
    <x v="9"/>
    <x v="2"/>
  </r>
  <r>
    <s v="TX501809"/>
    <x v="10"/>
    <x v="12"/>
    <n v="35.6"/>
    <n v="142.4"/>
    <x v="66"/>
    <d v="2025-03-10T00:00:00"/>
    <x v="2"/>
    <x v="1"/>
    <x v="1"/>
    <x v="0"/>
    <x v="19"/>
    <x v="1"/>
    <x v="9"/>
    <x v="2"/>
  </r>
  <r>
    <s v="TX501810"/>
    <x v="2"/>
    <x v="2"/>
    <n v="95"/>
    <n v="285"/>
    <x v="66"/>
    <d v="2025-03-12T00:00:00"/>
    <x v="2"/>
    <x v="2"/>
    <x v="2"/>
    <x v="0"/>
    <x v="56"/>
    <x v="5"/>
    <x v="9"/>
    <x v="2"/>
  </r>
  <r>
    <s v="TX501811"/>
    <x v="2"/>
    <x v="12"/>
    <n v="172.1"/>
    <n v="688.4"/>
    <x v="66"/>
    <d v="2025-03-12T00:00:00"/>
    <x v="3"/>
    <x v="2"/>
    <x v="2"/>
    <x v="0"/>
    <x v="21"/>
    <x v="5"/>
    <x v="9"/>
    <x v="3"/>
  </r>
  <r>
    <s v="TX501812"/>
    <x v="2"/>
    <x v="1"/>
    <n v="233"/>
    <n v="466"/>
    <x v="66"/>
    <d v="2025-03-11T00:00:00"/>
    <x v="2"/>
    <x v="1"/>
    <x v="0"/>
    <x v="0"/>
    <x v="21"/>
    <x v="2"/>
    <x v="9"/>
    <x v="2"/>
  </r>
  <r>
    <s v="TX501813"/>
    <x v="0"/>
    <x v="0"/>
    <n v="43.5"/>
    <n v="43.5"/>
    <x v="66"/>
    <d v="2025-03-09T00:00:00"/>
    <x v="2"/>
    <x v="2"/>
    <x v="2"/>
    <x v="0"/>
    <x v="21"/>
    <x v="3"/>
    <x v="9"/>
    <x v="2"/>
  </r>
  <r>
    <s v="TX501814"/>
    <x v="9"/>
    <x v="1"/>
    <n v="47.8"/>
    <n v="95.6"/>
    <x v="66"/>
    <d v="2025-03-11T00:00:00"/>
    <x v="1"/>
    <x v="4"/>
    <x v="2"/>
    <x v="0"/>
    <x v="1"/>
    <x v="2"/>
    <x v="9"/>
    <x v="1"/>
  </r>
  <r>
    <s v="TX501815"/>
    <x v="12"/>
    <x v="1"/>
    <n v="65.8"/>
    <n v="131.6"/>
    <x v="66"/>
    <d v="2025-03-10T00:00:00"/>
    <x v="2"/>
    <x v="0"/>
    <x v="3"/>
    <x v="0"/>
    <x v="33"/>
    <x v="1"/>
    <x v="9"/>
    <x v="2"/>
  </r>
  <r>
    <s v="TX501816"/>
    <x v="15"/>
    <x v="5"/>
    <n v="38.700000000000003"/>
    <n v="425.70000000000005"/>
    <x v="66"/>
    <d v="2025-03-08T00:00:00"/>
    <x v="1"/>
    <x v="0"/>
    <x v="0"/>
    <x v="0"/>
    <x v="22"/>
    <x v="7"/>
    <x v="9"/>
    <x v="1"/>
  </r>
  <r>
    <s v="TX501817"/>
    <x v="3"/>
    <x v="12"/>
    <n v="55.7"/>
    <n v="222.8"/>
    <x v="66"/>
    <d v="2025-03-10T00:00:00"/>
    <x v="3"/>
    <x v="0"/>
    <x v="1"/>
    <x v="0"/>
    <x v="22"/>
    <x v="1"/>
    <x v="9"/>
    <x v="3"/>
  </r>
  <r>
    <s v="TX501818"/>
    <x v="7"/>
    <x v="1"/>
    <n v="102.4"/>
    <n v="204.8"/>
    <x v="66"/>
    <d v="2025-03-08T00:00:00"/>
    <x v="2"/>
    <x v="1"/>
    <x v="0"/>
    <x v="0"/>
    <x v="3"/>
    <x v="7"/>
    <x v="9"/>
    <x v="2"/>
  </r>
  <r>
    <s v="TX501819"/>
    <x v="1"/>
    <x v="0"/>
    <n v="92"/>
    <n v="92"/>
    <x v="66"/>
    <d v="2025-03-12T00:00:00"/>
    <x v="0"/>
    <x v="2"/>
    <x v="0"/>
    <x v="0"/>
    <x v="3"/>
    <x v="5"/>
    <x v="9"/>
    <x v="0"/>
  </r>
  <r>
    <s v="TX501820"/>
    <x v="6"/>
    <x v="12"/>
    <n v="75.900000000000006"/>
    <n v="303.60000000000002"/>
    <x v="66"/>
    <d v="2025-03-10T00:00:00"/>
    <x v="2"/>
    <x v="1"/>
    <x v="0"/>
    <x v="0"/>
    <x v="3"/>
    <x v="1"/>
    <x v="9"/>
    <x v="2"/>
  </r>
  <r>
    <s v="TX501821"/>
    <x v="1"/>
    <x v="12"/>
    <n v="36.200000000000003"/>
    <n v="144.80000000000001"/>
    <x v="66"/>
    <d v="2025-03-09T00:00:00"/>
    <x v="2"/>
    <x v="1"/>
    <x v="0"/>
    <x v="0"/>
    <x v="3"/>
    <x v="3"/>
    <x v="9"/>
    <x v="2"/>
  </r>
  <r>
    <s v="TX501822"/>
    <x v="6"/>
    <x v="45"/>
    <n v="83.5"/>
    <n v="7264.5"/>
    <x v="66"/>
    <d v="2025-03-10T00:00:00"/>
    <x v="0"/>
    <x v="3"/>
    <x v="0"/>
    <x v="0"/>
    <x v="3"/>
    <x v="1"/>
    <x v="9"/>
    <x v="0"/>
  </r>
  <r>
    <s v="TX501823"/>
    <x v="19"/>
    <x v="4"/>
    <n v="52.4"/>
    <n v="628.79999999999995"/>
    <x v="66"/>
    <d v="2025-03-08T00:00:00"/>
    <x v="1"/>
    <x v="2"/>
    <x v="0"/>
    <x v="0"/>
    <x v="3"/>
    <x v="7"/>
    <x v="9"/>
    <x v="1"/>
  </r>
  <r>
    <s v="TX501824"/>
    <x v="12"/>
    <x v="2"/>
    <n v="69.5"/>
    <n v="208.5"/>
    <x v="66"/>
    <d v="2025-03-09T00:00:00"/>
    <x v="3"/>
    <x v="4"/>
    <x v="0"/>
    <x v="0"/>
    <x v="3"/>
    <x v="3"/>
    <x v="9"/>
    <x v="3"/>
  </r>
  <r>
    <s v="TX501825"/>
    <x v="0"/>
    <x v="0"/>
    <n v="15.5"/>
    <n v="15.5"/>
    <x v="66"/>
    <d v="2025-03-10T00:00:00"/>
    <x v="1"/>
    <x v="0"/>
    <x v="0"/>
    <x v="0"/>
    <x v="3"/>
    <x v="1"/>
    <x v="9"/>
    <x v="1"/>
  </r>
  <r>
    <s v="TX501826"/>
    <x v="4"/>
    <x v="12"/>
    <n v="35.200000000000003"/>
    <n v="140.80000000000001"/>
    <x v="66"/>
    <d v="2025-03-09T00:00:00"/>
    <x v="2"/>
    <x v="2"/>
    <x v="2"/>
    <x v="0"/>
    <x v="3"/>
    <x v="3"/>
    <x v="9"/>
    <x v="2"/>
  </r>
  <r>
    <s v="TX501827"/>
    <x v="8"/>
    <x v="13"/>
    <n v="34.6"/>
    <n v="207.60000000000002"/>
    <x v="66"/>
    <d v="2025-03-09T00:00:00"/>
    <x v="0"/>
    <x v="0"/>
    <x v="1"/>
    <x v="0"/>
    <x v="3"/>
    <x v="3"/>
    <x v="9"/>
    <x v="0"/>
  </r>
  <r>
    <s v="TX501828"/>
    <x v="4"/>
    <x v="0"/>
    <n v="21.3"/>
    <n v="21.3"/>
    <x v="67"/>
    <d v="2025-03-10T00:00:00"/>
    <x v="1"/>
    <x v="2"/>
    <x v="1"/>
    <x v="0"/>
    <x v="3"/>
    <x v="3"/>
    <x v="10"/>
    <x v="1"/>
  </r>
  <r>
    <s v="TX501829"/>
    <x v="6"/>
    <x v="1"/>
    <n v="136.5"/>
    <n v="273"/>
    <x v="67"/>
    <d v="2025-03-15T00:00:00"/>
    <x v="2"/>
    <x v="0"/>
    <x v="0"/>
    <x v="0"/>
    <x v="37"/>
    <x v="4"/>
    <x v="10"/>
    <x v="2"/>
  </r>
  <r>
    <s v="TX501830"/>
    <x v="9"/>
    <x v="3"/>
    <n v="30.7"/>
    <n v="214.9"/>
    <x v="67"/>
    <d v="2025-03-10T00:00:00"/>
    <x v="1"/>
    <x v="2"/>
    <x v="2"/>
    <x v="0"/>
    <x v="25"/>
    <x v="3"/>
    <x v="10"/>
    <x v="1"/>
  </r>
  <r>
    <s v="TX501831"/>
    <x v="1"/>
    <x v="1"/>
    <n v="61.6"/>
    <n v="123.2"/>
    <x v="67"/>
    <d v="2025-03-10T00:00:00"/>
    <x v="2"/>
    <x v="2"/>
    <x v="2"/>
    <x v="0"/>
    <x v="23"/>
    <x v="3"/>
    <x v="10"/>
    <x v="2"/>
  </r>
  <r>
    <s v="TX501832"/>
    <x v="6"/>
    <x v="12"/>
    <n v="54.3"/>
    <n v="217.2"/>
    <x v="67"/>
    <d v="2025-03-11T00:00:00"/>
    <x v="0"/>
    <x v="4"/>
    <x v="0"/>
    <x v="0"/>
    <x v="7"/>
    <x v="1"/>
    <x v="10"/>
    <x v="0"/>
  </r>
  <r>
    <s v="TX501833"/>
    <x v="1"/>
    <x v="1"/>
    <n v="44.1"/>
    <n v="88.2"/>
    <x v="67"/>
    <d v="2025-03-21T00:00:00"/>
    <x v="2"/>
    <x v="0"/>
    <x v="2"/>
    <x v="0"/>
    <x v="8"/>
    <x v="13"/>
    <x v="10"/>
    <x v="2"/>
  </r>
  <r>
    <s v="TX501834"/>
    <x v="8"/>
    <x v="12"/>
    <n v="43.5"/>
    <n v="174"/>
    <x v="67"/>
    <d v="2025-03-15T00:00:00"/>
    <x v="1"/>
    <x v="3"/>
    <x v="0"/>
    <x v="0"/>
    <x v="8"/>
    <x v="4"/>
    <x v="10"/>
    <x v="1"/>
  </r>
  <r>
    <s v="TX501835"/>
    <x v="8"/>
    <x v="2"/>
    <n v="48.2"/>
    <n v="144.60000000000002"/>
    <x v="67"/>
    <d v="2025-03-13T00:00:00"/>
    <x v="1"/>
    <x v="3"/>
    <x v="1"/>
    <x v="0"/>
    <x v="8"/>
    <x v="5"/>
    <x v="10"/>
    <x v="1"/>
  </r>
  <r>
    <s v="TX501836"/>
    <x v="19"/>
    <x v="0"/>
    <n v="13.7"/>
    <n v="13.7"/>
    <x v="67"/>
    <d v="2025-03-10T00:00:00"/>
    <x v="2"/>
    <x v="2"/>
    <x v="2"/>
    <x v="0"/>
    <x v="8"/>
    <x v="3"/>
    <x v="10"/>
    <x v="2"/>
  </r>
  <r>
    <s v="TX501837"/>
    <x v="2"/>
    <x v="1"/>
    <n v="110.5"/>
    <n v="221"/>
    <x v="67"/>
    <d v="2025-03-10T00:00:00"/>
    <x v="2"/>
    <x v="0"/>
    <x v="1"/>
    <x v="0"/>
    <x v="8"/>
    <x v="3"/>
    <x v="10"/>
    <x v="2"/>
  </r>
  <r>
    <s v="TX501838"/>
    <x v="8"/>
    <x v="2"/>
    <n v="26"/>
    <n v="78"/>
    <x v="67"/>
    <d v="2025-03-14T00:00:00"/>
    <x v="2"/>
    <x v="1"/>
    <x v="1"/>
    <x v="0"/>
    <x v="8"/>
    <x v="0"/>
    <x v="10"/>
    <x v="2"/>
  </r>
  <r>
    <s v="TX501839"/>
    <x v="2"/>
    <x v="7"/>
    <n v="140.69999999999999"/>
    <n v="1407"/>
    <x v="67"/>
    <d v="2025-03-15T00:00:00"/>
    <x v="1"/>
    <x v="3"/>
    <x v="1"/>
    <x v="0"/>
    <x v="8"/>
    <x v="4"/>
    <x v="10"/>
    <x v="1"/>
  </r>
  <r>
    <s v="TX501840"/>
    <x v="17"/>
    <x v="1"/>
    <n v="41.7"/>
    <n v="83.4"/>
    <x v="67"/>
    <d v="2025-03-17T00:00:00"/>
    <x v="2"/>
    <x v="0"/>
    <x v="4"/>
    <x v="0"/>
    <x v="8"/>
    <x v="9"/>
    <x v="10"/>
    <x v="2"/>
  </r>
  <r>
    <s v="TX501841"/>
    <x v="2"/>
    <x v="1"/>
    <n v="135.1"/>
    <n v="270.2"/>
    <x v="67"/>
    <d v="2025-03-10T00:00:00"/>
    <x v="1"/>
    <x v="0"/>
    <x v="2"/>
    <x v="0"/>
    <x v="17"/>
    <x v="3"/>
    <x v="10"/>
    <x v="1"/>
  </r>
  <r>
    <s v="TX501842"/>
    <x v="12"/>
    <x v="32"/>
    <n v="95.5"/>
    <n v="2101"/>
    <x v="67"/>
    <d v="2025-03-10T00:00:00"/>
    <x v="2"/>
    <x v="4"/>
    <x v="4"/>
    <x v="0"/>
    <x v="26"/>
    <x v="3"/>
    <x v="10"/>
    <x v="2"/>
  </r>
  <r>
    <s v="TX501843"/>
    <x v="15"/>
    <x v="0"/>
    <n v="25.5"/>
    <n v="25.5"/>
    <x v="67"/>
    <d v="2025-03-12T00:00:00"/>
    <x v="0"/>
    <x v="2"/>
    <x v="2"/>
    <x v="0"/>
    <x v="11"/>
    <x v="2"/>
    <x v="10"/>
    <x v="0"/>
  </r>
  <r>
    <s v="TX501844"/>
    <x v="1"/>
    <x v="0"/>
    <n v="42.6"/>
    <n v="42.6"/>
    <x v="67"/>
    <d v="2025-03-13T00:00:00"/>
    <x v="2"/>
    <x v="0"/>
    <x v="0"/>
    <x v="0"/>
    <x v="11"/>
    <x v="5"/>
    <x v="10"/>
    <x v="2"/>
  </r>
  <r>
    <s v="TX501845"/>
    <x v="8"/>
    <x v="20"/>
    <n v="32.4"/>
    <n v="486"/>
    <x v="67"/>
    <d v="2025-03-10T00:00:00"/>
    <x v="1"/>
    <x v="1"/>
    <x v="1"/>
    <x v="0"/>
    <x v="11"/>
    <x v="3"/>
    <x v="10"/>
    <x v="1"/>
  </r>
  <r>
    <s v="TX501846"/>
    <x v="4"/>
    <x v="12"/>
    <n v="20.2"/>
    <n v="80.8"/>
    <x v="67"/>
    <d v="2025-03-10T00:00:00"/>
    <x v="3"/>
    <x v="2"/>
    <x v="0"/>
    <x v="0"/>
    <x v="11"/>
    <x v="3"/>
    <x v="10"/>
    <x v="3"/>
  </r>
  <r>
    <s v="TX501847"/>
    <x v="16"/>
    <x v="2"/>
    <n v="52.5"/>
    <n v="157.5"/>
    <x v="67"/>
    <d v="2025-03-14T00:00:00"/>
    <x v="2"/>
    <x v="4"/>
    <x v="0"/>
    <x v="0"/>
    <x v="18"/>
    <x v="0"/>
    <x v="10"/>
    <x v="2"/>
  </r>
  <r>
    <s v="TX501848"/>
    <x v="2"/>
    <x v="9"/>
    <n v="59.9"/>
    <n v="299.5"/>
    <x v="67"/>
    <d v="2025-03-11T00:00:00"/>
    <x v="2"/>
    <x v="2"/>
    <x v="0"/>
    <x v="0"/>
    <x v="19"/>
    <x v="1"/>
    <x v="10"/>
    <x v="2"/>
  </r>
  <r>
    <s v="TX501849"/>
    <x v="4"/>
    <x v="1"/>
    <n v="53.2"/>
    <n v="106.4"/>
    <x v="67"/>
    <d v="2025-03-10T00:00:00"/>
    <x v="2"/>
    <x v="1"/>
    <x v="3"/>
    <x v="0"/>
    <x v="20"/>
    <x v="3"/>
    <x v="10"/>
    <x v="2"/>
  </r>
  <r>
    <s v="TX501850"/>
    <x v="2"/>
    <x v="1"/>
    <n v="60"/>
    <n v="120"/>
    <x v="67"/>
    <d v="2025-03-15T00:00:00"/>
    <x v="1"/>
    <x v="1"/>
    <x v="2"/>
    <x v="0"/>
    <x v="20"/>
    <x v="4"/>
    <x v="10"/>
    <x v="1"/>
  </r>
  <r>
    <s v="TX501851"/>
    <x v="8"/>
    <x v="2"/>
    <n v="29.3"/>
    <n v="87.9"/>
    <x v="67"/>
    <d v="2025-03-10T00:00:00"/>
    <x v="2"/>
    <x v="4"/>
    <x v="0"/>
    <x v="0"/>
    <x v="13"/>
    <x v="3"/>
    <x v="10"/>
    <x v="2"/>
  </r>
  <r>
    <s v="TX501852"/>
    <x v="12"/>
    <x v="1"/>
    <n v="55.4"/>
    <n v="110.8"/>
    <x v="67"/>
    <d v="2025-03-10T00:00:00"/>
    <x v="2"/>
    <x v="0"/>
    <x v="2"/>
    <x v="0"/>
    <x v="21"/>
    <x v="3"/>
    <x v="10"/>
    <x v="2"/>
  </r>
  <r>
    <s v="TX501853"/>
    <x v="0"/>
    <x v="9"/>
    <n v="20.100000000000001"/>
    <n v="100.5"/>
    <x v="67"/>
    <d v="2025-03-11T00:00:00"/>
    <x v="2"/>
    <x v="1"/>
    <x v="2"/>
    <x v="0"/>
    <x v="21"/>
    <x v="1"/>
    <x v="10"/>
    <x v="2"/>
  </r>
  <r>
    <s v="TX501854"/>
    <x v="14"/>
    <x v="9"/>
    <n v="24"/>
    <n v="120"/>
    <x v="67"/>
    <d v="2025-03-12T00:00:00"/>
    <x v="1"/>
    <x v="2"/>
    <x v="0"/>
    <x v="0"/>
    <x v="1"/>
    <x v="2"/>
    <x v="10"/>
    <x v="1"/>
  </r>
  <r>
    <s v="TX501855"/>
    <x v="8"/>
    <x v="1"/>
    <n v="30.6"/>
    <n v="61.2"/>
    <x v="68"/>
    <d v="2025-03-12T00:00:00"/>
    <x v="2"/>
    <x v="0"/>
    <x v="0"/>
    <x v="0"/>
    <x v="1"/>
    <x v="1"/>
    <x v="10"/>
    <x v="2"/>
  </r>
  <r>
    <s v="TX501856"/>
    <x v="10"/>
    <x v="9"/>
    <n v="33"/>
    <n v="165"/>
    <x v="68"/>
    <d v="2025-03-11T00:00:00"/>
    <x v="1"/>
    <x v="1"/>
    <x v="1"/>
    <x v="0"/>
    <x v="27"/>
    <x v="3"/>
    <x v="10"/>
    <x v="1"/>
  </r>
  <r>
    <s v="TX501857"/>
    <x v="17"/>
    <x v="11"/>
    <n v="42.1"/>
    <n v="378.90000000000003"/>
    <x v="68"/>
    <d v="2025-03-16T00:00:00"/>
    <x v="2"/>
    <x v="2"/>
    <x v="0"/>
    <x v="0"/>
    <x v="44"/>
    <x v="4"/>
    <x v="10"/>
    <x v="2"/>
  </r>
  <r>
    <s v="TX501858"/>
    <x v="6"/>
    <x v="3"/>
    <n v="77.7"/>
    <n v="543.9"/>
    <x v="68"/>
    <d v="2025-03-15T00:00:00"/>
    <x v="2"/>
    <x v="1"/>
    <x v="2"/>
    <x v="0"/>
    <x v="50"/>
    <x v="0"/>
    <x v="10"/>
    <x v="2"/>
  </r>
  <r>
    <s v="TX501859"/>
    <x v="17"/>
    <x v="13"/>
    <n v="22.7"/>
    <n v="136.19999999999999"/>
    <x v="68"/>
    <d v="2025-03-13T00:00:00"/>
    <x v="2"/>
    <x v="2"/>
    <x v="0"/>
    <x v="0"/>
    <x v="3"/>
    <x v="2"/>
    <x v="10"/>
    <x v="2"/>
  </r>
  <r>
    <s v="TX501860"/>
    <x v="2"/>
    <x v="1"/>
    <n v="133"/>
    <n v="266"/>
    <x v="68"/>
    <d v="2025-03-10T00:00:00"/>
    <x v="1"/>
    <x v="2"/>
    <x v="2"/>
    <x v="0"/>
    <x v="3"/>
    <x v="7"/>
    <x v="10"/>
    <x v="1"/>
  </r>
  <r>
    <s v="TX501861"/>
    <x v="0"/>
    <x v="1"/>
    <n v="23.3"/>
    <n v="46.6"/>
    <x v="68"/>
    <d v="2025-03-11T00:00:00"/>
    <x v="1"/>
    <x v="1"/>
    <x v="2"/>
    <x v="0"/>
    <x v="3"/>
    <x v="3"/>
    <x v="10"/>
    <x v="1"/>
  </r>
  <r>
    <s v="TX501862"/>
    <x v="8"/>
    <x v="2"/>
    <n v="20.7"/>
    <n v="62.099999999999994"/>
    <x v="68"/>
    <d v="2025-03-12T00:00:00"/>
    <x v="3"/>
    <x v="0"/>
    <x v="2"/>
    <x v="0"/>
    <x v="3"/>
    <x v="1"/>
    <x v="10"/>
    <x v="3"/>
  </r>
  <r>
    <s v="TX501863"/>
    <x v="12"/>
    <x v="1"/>
    <n v="47"/>
    <n v="94"/>
    <x v="68"/>
    <d v="2025-03-11T00:00:00"/>
    <x v="1"/>
    <x v="1"/>
    <x v="2"/>
    <x v="0"/>
    <x v="3"/>
    <x v="3"/>
    <x v="10"/>
    <x v="1"/>
  </r>
  <r>
    <s v="TX501864"/>
    <x v="12"/>
    <x v="2"/>
    <n v="38.200000000000003"/>
    <n v="114.60000000000001"/>
    <x v="68"/>
    <d v="2025-03-12T00:00:00"/>
    <x v="2"/>
    <x v="2"/>
    <x v="4"/>
    <x v="0"/>
    <x v="3"/>
    <x v="1"/>
    <x v="10"/>
    <x v="2"/>
  </r>
  <r>
    <s v="TX501865"/>
    <x v="9"/>
    <x v="0"/>
    <n v="39.1"/>
    <n v="39.1"/>
    <x v="68"/>
    <d v="2025-03-12T00:00:00"/>
    <x v="2"/>
    <x v="0"/>
    <x v="0"/>
    <x v="0"/>
    <x v="3"/>
    <x v="1"/>
    <x v="10"/>
    <x v="2"/>
  </r>
  <r>
    <s v="TX501866"/>
    <x v="7"/>
    <x v="30"/>
    <n v="55.6"/>
    <n v="1390"/>
    <x v="68"/>
    <d v="2025-03-12T00:00:00"/>
    <x v="1"/>
    <x v="0"/>
    <x v="2"/>
    <x v="0"/>
    <x v="3"/>
    <x v="1"/>
    <x v="10"/>
    <x v="1"/>
  </r>
  <r>
    <s v="TX501867"/>
    <x v="15"/>
    <x v="0"/>
    <n v="43.1"/>
    <n v="43.1"/>
    <x v="68"/>
    <d v="2025-03-10T00:00:00"/>
    <x v="3"/>
    <x v="1"/>
    <x v="2"/>
    <x v="0"/>
    <x v="3"/>
    <x v="7"/>
    <x v="10"/>
    <x v="3"/>
  </r>
  <r>
    <s v="TX501868"/>
    <x v="6"/>
    <x v="12"/>
    <n v="48.1"/>
    <n v="192.4"/>
    <x v="68"/>
    <d v="2025-03-11T00:00:00"/>
    <x v="2"/>
    <x v="4"/>
    <x v="2"/>
    <x v="0"/>
    <x v="3"/>
    <x v="3"/>
    <x v="10"/>
    <x v="2"/>
  </r>
  <r>
    <s v="TX501869"/>
    <x v="4"/>
    <x v="0"/>
    <n v="42"/>
    <n v="42"/>
    <x v="68"/>
    <d v="2025-03-11T00:00:00"/>
    <x v="3"/>
    <x v="0"/>
    <x v="0"/>
    <x v="0"/>
    <x v="3"/>
    <x v="3"/>
    <x v="10"/>
    <x v="3"/>
  </r>
  <r>
    <s v="TX501870"/>
    <x v="8"/>
    <x v="9"/>
    <n v="18.3"/>
    <n v="91.5"/>
    <x v="68"/>
    <d v="2025-03-10T00:00:00"/>
    <x v="2"/>
    <x v="2"/>
    <x v="0"/>
    <x v="0"/>
    <x v="3"/>
    <x v="7"/>
    <x v="10"/>
    <x v="2"/>
  </r>
  <r>
    <s v="TX501871"/>
    <x v="10"/>
    <x v="12"/>
    <n v="45.3"/>
    <n v="181.2"/>
    <x v="68"/>
    <d v="2025-03-13T00:00:00"/>
    <x v="2"/>
    <x v="0"/>
    <x v="2"/>
    <x v="0"/>
    <x v="3"/>
    <x v="2"/>
    <x v="10"/>
    <x v="2"/>
  </r>
  <r>
    <s v="TX501872"/>
    <x v="0"/>
    <x v="1"/>
    <n v="27.6"/>
    <n v="55.2"/>
    <x v="68"/>
    <d v="2025-03-12T00:00:00"/>
    <x v="1"/>
    <x v="0"/>
    <x v="2"/>
    <x v="0"/>
    <x v="37"/>
    <x v="1"/>
    <x v="10"/>
    <x v="1"/>
  </r>
  <r>
    <s v="TX501873"/>
    <x v="4"/>
    <x v="9"/>
    <n v="26.9"/>
    <n v="134.5"/>
    <x v="68"/>
    <d v="2025-03-11T00:00:00"/>
    <x v="2"/>
    <x v="2"/>
    <x v="0"/>
    <x v="0"/>
    <x v="25"/>
    <x v="3"/>
    <x v="10"/>
    <x v="2"/>
  </r>
  <r>
    <s v="TX501874"/>
    <x v="2"/>
    <x v="11"/>
    <n v="82.4"/>
    <n v="741.6"/>
    <x v="68"/>
    <d v="2025-03-12T00:00:00"/>
    <x v="3"/>
    <x v="2"/>
    <x v="0"/>
    <x v="0"/>
    <x v="5"/>
    <x v="1"/>
    <x v="10"/>
    <x v="3"/>
  </r>
  <r>
    <s v="TX501875"/>
    <x v="6"/>
    <x v="0"/>
    <n v="103.7"/>
    <n v="103.7"/>
    <x v="68"/>
    <d v="2025-03-12T00:00:00"/>
    <x v="2"/>
    <x v="1"/>
    <x v="0"/>
    <x v="0"/>
    <x v="5"/>
    <x v="1"/>
    <x v="10"/>
    <x v="2"/>
  </r>
  <r>
    <s v="TX501876"/>
    <x v="2"/>
    <x v="1"/>
    <n v="58.8"/>
    <n v="117.6"/>
    <x v="68"/>
    <d v="2025-03-15T00:00:00"/>
    <x v="2"/>
    <x v="1"/>
    <x v="2"/>
    <x v="0"/>
    <x v="6"/>
    <x v="0"/>
    <x v="10"/>
    <x v="2"/>
  </r>
  <r>
    <s v="TX501877"/>
    <x v="13"/>
    <x v="0"/>
    <n v="31.5"/>
    <n v="31.5"/>
    <x v="68"/>
    <d v="2025-03-11T00:00:00"/>
    <x v="2"/>
    <x v="1"/>
    <x v="1"/>
    <x v="0"/>
    <x v="6"/>
    <x v="3"/>
    <x v="10"/>
    <x v="2"/>
  </r>
  <r>
    <s v="TX501878"/>
    <x v="7"/>
    <x v="9"/>
    <n v="36.799999999999997"/>
    <n v="184"/>
    <x v="68"/>
    <d v="2025-03-12T00:00:00"/>
    <x v="2"/>
    <x v="0"/>
    <x v="0"/>
    <x v="0"/>
    <x v="8"/>
    <x v="1"/>
    <x v="10"/>
    <x v="2"/>
  </r>
  <r>
    <s v="TX501879"/>
    <x v="3"/>
    <x v="0"/>
    <n v="84.4"/>
    <n v="84.4"/>
    <x v="68"/>
    <d v="2025-03-11T00:00:00"/>
    <x v="2"/>
    <x v="0"/>
    <x v="0"/>
    <x v="0"/>
    <x v="8"/>
    <x v="3"/>
    <x v="10"/>
    <x v="2"/>
  </r>
  <r>
    <s v="TX501880"/>
    <x v="14"/>
    <x v="0"/>
    <n v="44.7"/>
    <n v="44.7"/>
    <x v="68"/>
    <d v="2025-03-11T00:00:00"/>
    <x v="1"/>
    <x v="0"/>
    <x v="1"/>
    <x v="0"/>
    <x v="8"/>
    <x v="3"/>
    <x v="10"/>
    <x v="1"/>
  </r>
  <r>
    <s v="TX501881"/>
    <x v="9"/>
    <x v="8"/>
    <n v="39.4"/>
    <n v="315.2"/>
    <x v="68"/>
    <d v="2025-03-11T00:00:00"/>
    <x v="2"/>
    <x v="1"/>
    <x v="2"/>
    <x v="0"/>
    <x v="8"/>
    <x v="3"/>
    <x v="10"/>
    <x v="2"/>
  </r>
  <r>
    <s v="TX501882"/>
    <x v="11"/>
    <x v="12"/>
    <n v="34.9"/>
    <n v="139.6"/>
    <x v="68"/>
    <d v="2025-03-12T00:00:00"/>
    <x v="2"/>
    <x v="0"/>
    <x v="2"/>
    <x v="0"/>
    <x v="8"/>
    <x v="1"/>
    <x v="10"/>
    <x v="2"/>
  </r>
  <r>
    <s v="TX501883"/>
    <x v="1"/>
    <x v="2"/>
    <n v="62.3"/>
    <n v="186.89999999999998"/>
    <x v="68"/>
    <d v="2025-03-12T00:00:00"/>
    <x v="1"/>
    <x v="4"/>
    <x v="2"/>
    <x v="0"/>
    <x v="8"/>
    <x v="1"/>
    <x v="10"/>
    <x v="1"/>
  </r>
  <r>
    <s v="TX501884"/>
    <x v="8"/>
    <x v="12"/>
    <n v="21.1"/>
    <n v="84.4"/>
    <x v="68"/>
    <d v="2025-03-13T00:00:00"/>
    <x v="1"/>
    <x v="3"/>
    <x v="0"/>
    <x v="0"/>
    <x v="8"/>
    <x v="2"/>
    <x v="10"/>
    <x v="1"/>
  </r>
  <r>
    <s v="TX501885"/>
    <x v="8"/>
    <x v="2"/>
    <n v="33.200000000000003"/>
    <n v="99.600000000000009"/>
    <x v="68"/>
    <d v="2025-03-24T00:00:00"/>
    <x v="0"/>
    <x v="0"/>
    <x v="4"/>
    <x v="0"/>
    <x v="8"/>
    <x v="12"/>
    <x v="10"/>
    <x v="0"/>
  </r>
  <r>
    <s v="TX501886"/>
    <x v="1"/>
    <x v="12"/>
    <n v="74.5"/>
    <n v="298"/>
    <x v="68"/>
    <d v="2025-03-11T00:00:00"/>
    <x v="1"/>
    <x v="4"/>
    <x v="0"/>
    <x v="0"/>
    <x v="8"/>
    <x v="3"/>
    <x v="10"/>
    <x v="1"/>
  </r>
  <r>
    <s v="TX501887"/>
    <x v="10"/>
    <x v="4"/>
    <n v="68.599999999999994"/>
    <n v="823.19999999999993"/>
    <x v="68"/>
    <d v="2025-03-13T00:00:00"/>
    <x v="2"/>
    <x v="0"/>
    <x v="2"/>
    <x v="0"/>
    <x v="8"/>
    <x v="2"/>
    <x v="10"/>
    <x v="2"/>
  </r>
  <r>
    <s v="TX501888"/>
    <x v="5"/>
    <x v="21"/>
    <n v="36.4"/>
    <n v="509.59999999999997"/>
    <x v="68"/>
    <d v="2025-03-12T00:00:00"/>
    <x v="2"/>
    <x v="0"/>
    <x v="1"/>
    <x v="0"/>
    <x v="9"/>
    <x v="1"/>
    <x v="10"/>
    <x v="2"/>
  </r>
  <r>
    <s v="TX501889"/>
    <x v="16"/>
    <x v="9"/>
    <n v="67.599999999999994"/>
    <n v="338"/>
    <x v="69"/>
    <d v="2025-03-14T00:00:00"/>
    <x v="2"/>
    <x v="4"/>
    <x v="1"/>
    <x v="0"/>
    <x v="9"/>
    <x v="2"/>
    <x v="10"/>
    <x v="2"/>
  </r>
  <r>
    <s v="TX501890"/>
    <x v="15"/>
    <x v="0"/>
    <n v="46.3"/>
    <n v="46.3"/>
    <x v="69"/>
    <d v="2025-03-12T00:00:00"/>
    <x v="1"/>
    <x v="2"/>
    <x v="0"/>
    <x v="0"/>
    <x v="9"/>
    <x v="3"/>
    <x v="10"/>
    <x v="1"/>
  </r>
  <r>
    <s v="TX501891"/>
    <x v="1"/>
    <x v="2"/>
    <n v="124.2"/>
    <n v="372.6"/>
    <x v="69"/>
    <d v="2025-03-13T00:00:00"/>
    <x v="2"/>
    <x v="1"/>
    <x v="2"/>
    <x v="0"/>
    <x v="11"/>
    <x v="1"/>
    <x v="10"/>
    <x v="2"/>
  </r>
  <r>
    <s v="TX501892"/>
    <x v="10"/>
    <x v="1"/>
    <n v="37"/>
    <n v="74"/>
    <x v="69"/>
    <d v="2025-03-17T00:00:00"/>
    <x v="1"/>
    <x v="0"/>
    <x v="0"/>
    <x v="0"/>
    <x v="11"/>
    <x v="4"/>
    <x v="10"/>
    <x v="1"/>
  </r>
  <r>
    <s v="TX501893"/>
    <x v="5"/>
    <x v="0"/>
    <n v="41.8"/>
    <n v="41.8"/>
    <x v="69"/>
    <d v="2025-03-12T00:00:00"/>
    <x v="1"/>
    <x v="2"/>
    <x v="0"/>
    <x v="0"/>
    <x v="31"/>
    <x v="3"/>
    <x v="10"/>
    <x v="1"/>
  </r>
  <r>
    <s v="TX501894"/>
    <x v="9"/>
    <x v="1"/>
    <n v="57.2"/>
    <n v="114.4"/>
    <x v="69"/>
    <d v="2025-03-13T00:00:00"/>
    <x v="1"/>
    <x v="2"/>
    <x v="1"/>
    <x v="0"/>
    <x v="20"/>
    <x v="1"/>
    <x v="10"/>
    <x v="1"/>
  </r>
  <r>
    <s v="TX501895"/>
    <x v="6"/>
    <x v="1"/>
    <n v="47.1"/>
    <n v="94.2"/>
    <x v="69"/>
    <d v="2025-03-13T00:00:00"/>
    <x v="2"/>
    <x v="0"/>
    <x v="4"/>
    <x v="0"/>
    <x v="20"/>
    <x v="1"/>
    <x v="10"/>
    <x v="2"/>
  </r>
  <r>
    <s v="TX501896"/>
    <x v="5"/>
    <x v="2"/>
    <n v="86.4"/>
    <n v="259.20000000000005"/>
    <x v="69"/>
    <d v="2025-03-12T00:00:00"/>
    <x v="1"/>
    <x v="2"/>
    <x v="1"/>
    <x v="0"/>
    <x v="52"/>
    <x v="3"/>
    <x v="10"/>
    <x v="1"/>
  </r>
  <r>
    <s v="TX501897"/>
    <x v="6"/>
    <x v="9"/>
    <n v="105"/>
    <n v="525"/>
    <x v="69"/>
    <d v="2025-03-14T00:00:00"/>
    <x v="1"/>
    <x v="0"/>
    <x v="0"/>
    <x v="0"/>
    <x v="13"/>
    <x v="2"/>
    <x v="10"/>
    <x v="1"/>
  </r>
  <r>
    <s v="TX501898"/>
    <x v="18"/>
    <x v="0"/>
    <n v="33"/>
    <n v="33"/>
    <x v="69"/>
    <d v="2025-03-14T00:00:00"/>
    <x v="1"/>
    <x v="4"/>
    <x v="0"/>
    <x v="0"/>
    <x v="21"/>
    <x v="2"/>
    <x v="10"/>
    <x v="1"/>
  </r>
  <r>
    <s v="TX501899"/>
    <x v="6"/>
    <x v="9"/>
    <n v="106.6"/>
    <n v="533"/>
    <x v="69"/>
    <d v="2025-03-24T00:00:00"/>
    <x v="2"/>
    <x v="2"/>
    <x v="0"/>
    <x v="0"/>
    <x v="1"/>
    <x v="10"/>
    <x v="10"/>
    <x v="2"/>
  </r>
  <r>
    <s v="TX501900"/>
    <x v="10"/>
    <x v="46"/>
    <n v="26.8"/>
    <n v="857.6"/>
    <x v="69"/>
    <d v="2025-03-12T00:00:00"/>
    <x v="2"/>
    <x v="2"/>
    <x v="0"/>
    <x v="0"/>
    <x v="1"/>
    <x v="3"/>
    <x v="10"/>
    <x v="2"/>
  </r>
  <r>
    <s v="TX501901"/>
    <x v="17"/>
    <x v="9"/>
    <n v="25.8"/>
    <n v="129"/>
    <x v="69"/>
    <d v="2025-03-11T00:00:00"/>
    <x v="2"/>
    <x v="1"/>
    <x v="2"/>
    <x v="0"/>
    <x v="3"/>
    <x v="7"/>
    <x v="10"/>
    <x v="2"/>
  </r>
  <r>
    <s v="TX501902"/>
    <x v="2"/>
    <x v="2"/>
    <n v="217"/>
    <n v="651"/>
    <x v="69"/>
    <d v="2025-03-12T00:00:00"/>
    <x v="2"/>
    <x v="1"/>
    <x v="1"/>
    <x v="0"/>
    <x v="3"/>
    <x v="3"/>
    <x v="10"/>
    <x v="2"/>
  </r>
  <r>
    <s v="TX501903"/>
    <x v="2"/>
    <x v="1"/>
    <n v="97.3"/>
    <n v="194.6"/>
    <x v="69"/>
    <d v="2025-03-12T00:00:00"/>
    <x v="1"/>
    <x v="2"/>
    <x v="4"/>
    <x v="0"/>
    <x v="3"/>
    <x v="3"/>
    <x v="10"/>
    <x v="1"/>
  </r>
  <r>
    <s v="TX501904"/>
    <x v="1"/>
    <x v="0"/>
    <n v="49.8"/>
    <n v="49.8"/>
    <x v="69"/>
    <d v="2025-03-12T00:00:00"/>
    <x v="2"/>
    <x v="0"/>
    <x v="0"/>
    <x v="0"/>
    <x v="3"/>
    <x v="3"/>
    <x v="10"/>
    <x v="2"/>
  </r>
  <r>
    <s v="TX501905"/>
    <x v="12"/>
    <x v="9"/>
    <n v="32.6"/>
    <n v="163"/>
    <x v="69"/>
    <d v="2025-03-12T00:00:00"/>
    <x v="2"/>
    <x v="0"/>
    <x v="0"/>
    <x v="0"/>
    <x v="3"/>
    <x v="3"/>
    <x v="10"/>
    <x v="2"/>
  </r>
  <r>
    <s v="TX501906"/>
    <x v="9"/>
    <x v="1"/>
    <n v="40.1"/>
    <n v="80.2"/>
    <x v="69"/>
    <d v="2025-03-14T00:00:00"/>
    <x v="1"/>
    <x v="1"/>
    <x v="2"/>
    <x v="0"/>
    <x v="3"/>
    <x v="2"/>
    <x v="10"/>
    <x v="1"/>
  </r>
  <r>
    <s v="TX501907"/>
    <x v="10"/>
    <x v="1"/>
    <n v="49.4"/>
    <n v="98.8"/>
    <x v="69"/>
    <d v="2025-03-13T00:00:00"/>
    <x v="1"/>
    <x v="1"/>
    <x v="0"/>
    <x v="0"/>
    <x v="3"/>
    <x v="1"/>
    <x v="10"/>
    <x v="1"/>
  </r>
  <r>
    <s v="TX501908"/>
    <x v="2"/>
    <x v="0"/>
    <n v="67.3"/>
    <n v="67.3"/>
    <x v="69"/>
    <d v="2025-03-12T00:00:00"/>
    <x v="2"/>
    <x v="0"/>
    <x v="2"/>
    <x v="0"/>
    <x v="3"/>
    <x v="3"/>
    <x v="10"/>
    <x v="2"/>
  </r>
  <r>
    <s v="TX501909"/>
    <x v="18"/>
    <x v="12"/>
    <n v="44.5"/>
    <n v="178"/>
    <x v="69"/>
    <d v="2025-03-14T00:00:00"/>
    <x v="0"/>
    <x v="1"/>
    <x v="0"/>
    <x v="0"/>
    <x v="3"/>
    <x v="2"/>
    <x v="10"/>
    <x v="0"/>
  </r>
  <r>
    <s v="TX501910"/>
    <x v="6"/>
    <x v="5"/>
    <n v="111.1"/>
    <n v="1222.0999999999999"/>
    <x v="69"/>
    <d v="2025-03-12T00:00:00"/>
    <x v="2"/>
    <x v="4"/>
    <x v="0"/>
    <x v="0"/>
    <x v="3"/>
    <x v="3"/>
    <x v="10"/>
    <x v="2"/>
  </r>
  <r>
    <s v="TX501911"/>
    <x v="8"/>
    <x v="2"/>
    <n v="19.7"/>
    <n v="59.099999999999994"/>
    <x v="69"/>
    <d v="2025-03-12T00:00:00"/>
    <x v="2"/>
    <x v="4"/>
    <x v="4"/>
    <x v="0"/>
    <x v="3"/>
    <x v="3"/>
    <x v="10"/>
    <x v="2"/>
  </r>
  <r>
    <s v="TX501912"/>
    <x v="1"/>
    <x v="0"/>
    <n v="40.299999999999997"/>
    <n v="40.299999999999997"/>
    <x v="69"/>
    <d v="2025-03-12T00:00:00"/>
    <x v="3"/>
    <x v="1"/>
    <x v="0"/>
    <x v="0"/>
    <x v="3"/>
    <x v="3"/>
    <x v="10"/>
    <x v="3"/>
  </r>
  <r>
    <s v="TX501913"/>
    <x v="6"/>
    <x v="1"/>
    <n v="108.8"/>
    <n v="217.6"/>
    <x v="69"/>
    <d v="2025-03-16T00:00:00"/>
    <x v="1"/>
    <x v="0"/>
    <x v="2"/>
    <x v="0"/>
    <x v="6"/>
    <x v="0"/>
    <x v="10"/>
    <x v="1"/>
  </r>
  <r>
    <s v="TX501914"/>
    <x v="8"/>
    <x v="2"/>
    <n v="48.2"/>
    <n v="144.60000000000002"/>
    <x v="69"/>
    <d v="2025-03-16T00:00:00"/>
    <x v="2"/>
    <x v="4"/>
    <x v="0"/>
    <x v="0"/>
    <x v="7"/>
    <x v="0"/>
    <x v="10"/>
    <x v="2"/>
  </r>
  <r>
    <s v="TX501915"/>
    <x v="2"/>
    <x v="2"/>
    <n v="104.7"/>
    <n v="314.10000000000002"/>
    <x v="69"/>
    <d v="2025-03-13T00:00:00"/>
    <x v="2"/>
    <x v="0"/>
    <x v="1"/>
    <x v="0"/>
    <x v="7"/>
    <x v="1"/>
    <x v="10"/>
    <x v="2"/>
  </r>
  <r>
    <s v="TX501916"/>
    <x v="1"/>
    <x v="1"/>
    <n v="80.599999999999994"/>
    <n v="161.19999999999999"/>
    <x v="69"/>
    <d v="2025-03-11T00:00:00"/>
    <x v="2"/>
    <x v="1"/>
    <x v="0"/>
    <x v="0"/>
    <x v="8"/>
    <x v="7"/>
    <x v="10"/>
    <x v="2"/>
  </r>
  <r>
    <s v="TX501917"/>
    <x v="6"/>
    <x v="0"/>
    <n v="65.5"/>
    <n v="65.5"/>
    <x v="69"/>
    <d v="2025-03-13T00:00:00"/>
    <x v="3"/>
    <x v="1"/>
    <x v="0"/>
    <x v="0"/>
    <x v="8"/>
    <x v="1"/>
    <x v="10"/>
    <x v="3"/>
  </r>
  <r>
    <s v="TX501918"/>
    <x v="9"/>
    <x v="2"/>
    <n v="61.4"/>
    <n v="184.2"/>
    <x v="69"/>
    <d v="2025-03-13T00:00:00"/>
    <x v="2"/>
    <x v="4"/>
    <x v="2"/>
    <x v="0"/>
    <x v="8"/>
    <x v="1"/>
    <x v="10"/>
    <x v="2"/>
  </r>
  <r>
    <s v="TX501919"/>
    <x v="0"/>
    <x v="0"/>
    <n v="12.5"/>
    <n v="12.5"/>
    <x v="70"/>
    <d v="2025-03-15T00:00:00"/>
    <x v="2"/>
    <x v="0"/>
    <x v="1"/>
    <x v="0"/>
    <x v="8"/>
    <x v="2"/>
    <x v="10"/>
    <x v="2"/>
  </r>
  <r>
    <s v="TX501920"/>
    <x v="4"/>
    <x v="12"/>
    <n v="35.1"/>
    <n v="140.4"/>
    <x v="70"/>
    <d v="2025-03-13T00:00:00"/>
    <x v="1"/>
    <x v="2"/>
    <x v="1"/>
    <x v="0"/>
    <x v="17"/>
    <x v="3"/>
    <x v="10"/>
    <x v="1"/>
  </r>
  <r>
    <s v="TX501921"/>
    <x v="5"/>
    <x v="1"/>
    <n v="55.7"/>
    <n v="111.4"/>
    <x v="70"/>
    <d v="2025-03-13T00:00:00"/>
    <x v="1"/>
    <x v="0"/>
    <x v="1"/>
    <x v="0"/>
    <x v="26"/>
    <x v="3"/>
    <x v="10"/>
    <x v="1"/>
  </r>
  <r>
    <s v="TX501922"/>
    <x v="7"/>
    <x v="1"/>
    <n v="57.7"/>
    <n v="115.4"/>
    <x v="70"/>
    <d v="2025-03-14T00:00:00"/>
    <x v="1"/>
    <x v="4"/>
    <x v="1"/>
    <x v="0"/>
    <x v="9"/>
    <x v="1"/>
    <x v="10"/>
    <x v="1"/>
  </r>
  <r>
    <s v="TX501923"/>
    <x v="2"/>
    <x v="13"/>
    <n v="85.7"/>
    <n v="514.20000000000005"/>
    <x v="70"/>
    <d v="2025-03-13T00:00:00"/>
    <x v="1"/>
    <x v="3"/>
    <x v="2"/>
    <x v="0"/>
    <x v="9"/>
    <x v="3"/>
    <x v="10"/>
    <x v="1"/>
  </r>
  <r>
    <s v="TX501924"/>
    <x v="2"/>
    <x v="2"/>
    <n v="86.9"/>
    <n v="260.70000000000005"/>
    <x v="70"/>
    <d v="2025-03-14T00:00:00"/>
    <x v="2"/>
    <x v="1"/>
    <x v="0"/>
    <x v="0"/>
    <x v="11"/>
    <x v="1"/>
    <x v="10"/>
    <x v="2"/>
  </r>
  <r>
    <s v="TX501925"/>
    <x v="18"/>
    <x v="1"/>
    <n v="46.4"/>
    <n v="92.8"/>
    <x v="70"/>
    <d v="2025-03-15T00:00:00"/>
    <x v="2"/>
    <x v="4"/>
    <x v="0"/>
    <x v="0"/>
    <x v="11"/>
    <x v="2"/>
    <x v="10"/>
    <x v="2"/>
  </r>
  <r>
    <s v="TX501926"/>
    <x v="5"/>
    <x v="2"/>
    <n v="25.4"/>
    <n v="76.199999999999989"/>
    <x v="70"/>
    <d v="2025-03-12T00:00:00"/>
    <x v="2"/>
    <x v="2"/>
    <x v="2"/>
    <x v="0"/>
    <x v="18"/>
    <x v="7"/>
    <x v="10"/>
    <x v="2"/>
  </r>
  <r>
    <s v="TX501927"/>
    <x v="10"/>
    <x v="2"/>
    <n v="47.8"/>
    <n v="143.39999999999998"/>
    <x v="70"/>
    <d v="2025-03-12T00:00:00"/>
    <x v="0"/>
    <x v="2"/>
    <x v="2"/>
    <x v="0"/>
    <x v="19"/>
    <x v="7"/>
    <x v="10"/>
    <x v="0"/>
  </r>
  <r>
    <s v="TX501928"/>
    <x v="8"/>
    <x v="10"/>
    <n v="18.399999999999999"/>
    <n v="349.59999999999997"/>
    <x v="70"/>
    <d v="2025-03-14T00:00:00"/>
    <x v="3"/>
    <x v="2"/>
    <x v="0"/>
    <x v="0"/>
    <x v="20"/>
    <x v="1"/>
    <x v="10"/>
    <x v="3"/>
  </r>
  <r>
    <s v="TX501929"/>
    <x v="12"/>
    <x v="2"/>
    <n v="65.5"/>
    <n v="196.5"/>
    <x v="70"/>
    <d v="2025-03-20T00:00:00"/>
    <x v="2"/>
    <x v="0"/>
    <x v="0"/>
    <x v="0"/>
    <x v="21"/>
    <x v="9"/>
    <x v="10"/>
    <x v="2"/>
  </r>
  <r>
    <s v="TX501930"/>
    <x v="10"/>
    <x v="1"/>
    <n v="50.6"/>
    <n v="101.2"/>
    <x v="70"/>
    <d v="2025-03-15T00:00:00"/>
    <x v="1"/>
    <x v="2"/>
    <x v="4"/>
    <x v="0"/>
    <x v="21"/>
    <x v="2"/>
    <x v="10"/>
    <x v="1"/>
  </r>
  <r>
    <s v="TX501931"/>
    <x v="3"/>
    <x v="9"/>
    <n v="69"/>
    <n v="345"/>
    <x v="70"/>
    <d v="2025-03-16T00:00:00"/>
    <x v="1"/>
    <x v="3"/>
    <x v="0"/>
    <x v="0"/>
    <x v="21"/>
    <x v="5"/>
    <x v="10"/>
    <x v="1"/>
  </r>
  <r>
    <s v="TX501932"/>
    <x v="9"/>
    <x v="8"/>
    <n v="51.1"/>
    <n v="408.8"/>
    <x v="70"/>
    <d v="2025-03-14T00:00:00"/>
    <x v="2"/>
    <x v="0"/>
    <x v="0"/>
    <x v="0"/>
    <x v="1"/>
    <x v="1"/>
    <x v="10"/>
    <x v="2"/>
  </r>
  <r>
    <s v="TX501933"/>
    <x v="9"/>
    <x v="0"/>
    <n v="36.1"/>
    <n v="36.1"/>
    <x v="70"/>
    <d v="2025-03-13T00:00:00"/>
    <x v="2"/>
    <x v="0"/>
    <x v="2"/>
    <x v="0"/>
    <x v="34"/>
    <x v="3"/>
    <x v="10"/>
    <x v="2"/>
  </r>
  <r>
    <s v="TX501934"/>
    <x v="14"/>
    <x v="0"/>
    <n v="18.7"/>
    <n v="18.7"/>
    <x v="70"/>
    <d v="2025-03-13T00:00:00"/>
    <x v="1"/>
    <x v="0"/>
    <x v="0"/>
    <x v="0"/>
    <x v="3"/>
    <x v="3"/>
    <x v="10"/>
    <x v="1"/>
  </r>
  <r>
    <s v="TX501935"/>
    <x v="17"/>
    <x v="0"/>
    <n v="30.1"/>
    <n v="30.1"/>
    <x v="70"/>
    <d v="2025-03-15T00:00:00"/>
    <x v="2"/>
    <x v="3"/>
    <x v="1"/>
    <x v="0"/>
    <x v="3"/>
    <x v="2"/>
    <x v="10"/>
    <x v="2"/>
  </r>
  <r>
    <s v="TX501936"/>
    <x v="8"/>
    <x v="0"/>
    <n v="16.3"/>
    <n v="16.3"/>
    <x v="70"/>
    <d v="2025-03-13T00:00:00"/>
    <x v="1"/>
    <x v="3"/>
    <x v="0"/>
    <x v="0"/>
    <x v="3"/>
    <x v="3"/>
    <x v="10"/>
    <x v="1"/>
  </r>
  <r>
    <s v="TX501937"/>
    <x v="1"/>
    <x v="2"/>
    <n v="63.8"/>
    <n v="191.39999999999998"/>
    <x v="70"/>
    <d v="2025-03-17T00:00:00"/>
    <x v="2"/>
    <x v="2"/>
    <x v="1"/>
    <x v="0"/>
    <x v="3"/>
    <x v="0"/>
    <x v="10"/>
    <x v="2"/>
  </r>
  <r>
    <s v="TX501938"/>
    <x v="1"/>
    <x v="3"/>
    <n v="73.900000000000006"/>
    <n v="517.30000000000007"/>
    <x v="70"/>
    <d v="2025-03-12T00:00:00"/>
    <x v="2"/>
    <x v="0"/>
    <x v="1"/>
    <x v="0"/>
    <x v="3"/>
    <x v="7"/>
    <x v="10"/>
    <x v="2"/>
  </r>
  <r>
    <s v="TX501939"/>
    <x v="0"/>
    <x v="1"/>
    <n v="20.2"/>
    <n v="40.4"/>
    <x v="70"/>
    <d v="2025-03-13T00:00:00"/>
    <x v="1"/>
    <x v="0"/>
    <x v="1"/>
    <x v="0"/>
    <x v="3"/>
    <x v="3"/>
    <x v="10"/>
    <x v="1"/>
  </r>
  <r>
    <s v="TX501940"/>
    <x v="11"/>
    <x v="5"/>
    <n v="29.5"/>
    <n v="324.5"/>
    <x v="70"/>
    <d v="2025-03-13T00:00:00"/>
    <x v="1"/>
    <x v="0"/>
    <x v="0"/>
    <x v="0"/>
    <x v="3"/>
    <x v="3"/>
    <x v="10"/>
    <x v="1"/>
  </r>
  <r>
    <s v="TX501941"/>
    <x v="15"/>
    <x v="3"/>
    <n v="37.9"/>
    <n v="265.3"/>
    <x v="70"/>
    <d v="2025-03-13T00:00:00"/>
    <x v="1"/>
    <x v="1"/>
    <x v="0"/>
    <x v="0"/>
    <x v="3"/>
    <x v="3"/>
    <x v="10"/>
    <x v="1"/>
  </r>
  <r>
    <s v="TX501942"/>
    <x v="2"/>
    <x v="0"/>
    <n v="56.5"/>
    <n v="56.5"/>
    <x v="70"/>
    <d v="2025-03-13T00:00:00"/>
    <x v="2"/>
    <x v="2"/>
    <x v="1"/>
    <x v="0"/>
    <x v="3"/>
    <x v="3"/>
    <x v="10"/>
    <x v="2"/>
  </r>
  <r>
    <s v="TX501943"/>
    <x v="2"/>
    <x v="1"/>
    <n v="66.900000000000006"/>
    <n v="133.80000000000001"/>
    <x v="70"/>
    <d v="2025-03-18T00:00:00"/>
    <x v="1"/>
    <x v="1"/>
    <x v="4"/>
    <x v="0"/>
    <x v="25"/>
    <x v="4"/>
    <x v="10"/>
    <x v="1"/>
  </r>
  <r>
    <s v="TX501944"/>
    <x v="2"/>
    <x v="9"/>
    <n v="51.9"/>
    <n v="259.5"/>
    <x v="70"/>
    <d v="2025-03-15T00:00:00"/>
    <x v="1"/>
    <x v="1"/>
    <x v="0"/>
    <x v="0"/>
    <x v="7"/>
    <x v="2"/>
    <x v="10"/>
    <x v="1"/>
  </r>
  <r>
    <s v="TX501945"/>
    <x v="2"/>
    <x v="1"/>
    <n v="75.599999999999994"/>
    <n v="151.19999999999999"/>
    <x v="70"/>
    <d v="2025-03-15T00:00:00"/>
    <x v="1"/>
    <x v="1"/>
    <x v="0"/>
    <x v="0"/>
    <x v="8"/>
    <x v="2"/>
    <x v="10"/>
    <x v="1"/>
  </r>
  <r>
    <s v="TX501946"/>
    <x v="12"/>
    <x v="13"/>
    <n v="47.3"/>
    <n v="283.79999999999995"/>
    <x v="70"/>
    <d v="2025-03-23T00:00:00"/>
    <x v="1"/>
    <x v="0"/>
    <x v="0"/>
    <x v="0"/>
    <x v="8"/>
    <x v="11"/>
    <x v="10"/>
    <x v="1"/>
  </r>
  <r>
    <s v="TX501947"/>
    <x v="4"/>
    <x v="0"/>
    <n v="20.6"/>
    <n v="20.6"/>
    <x v="70"/>
    <d v="2025-03-13T00:00:00"/>
    <x v="0"/>
    <x v="0"/>
    <x v="1"/>
    <x v="0"/>
    <x v="8"/>
    <x v="3"/>
    <x v="10"/>
    <x v="0"/>
  </r>
  <r>
    <s v="TX501948"/>
    <x v="6"/>
    <x v="2"/>
    <n v="49.7"/>
    <n v="149.10000000000002"/>
    <x v="70"/>
    <d v="2025-03-14T00:00:00"/>
    <x v="1"/>
    <x v="0"/>
    <x v="1"/>
    <x v="0"/>
    <x v="8"/>
    <x v="1"/>
    <x v="10"/>
    <x v="1"/>
  </r>
  <r>
    <s v="TX501949"/>
    <x v="3"/>
    <x v="0"/>
    <n v="37.9"/>
    <n v="37.9"/>
    <x v="70"/>
    <d v="2025-03-14T00:00:00"/>
    <x v="2"/>
    <x v="0"/>
    <x v="0"/>
    <x v="0"/>
    <x v="8"/>
    <x v="1"/>
    <x v="10"/>
    <x v="2"/>
  </r>
  <r>
    <s v="TX501950"/>
    <x v="13"/>
    <x v="20"/>
    <n v="32"/>
    <n v="480"/>
    <x v="70"/>
    <d v="2025-03-14T00:00:00"/>
    <x v="2"/>
    <x v="4"/>
    <x v="0"/>
    <x v="0"/>
    <x v="11"/>
    <x v="1"/>
    <x v="10"/>
    <x v="2"/>
  </r>
  <r>
    <s v="TX501951"/>
    <x v="10"/>
    <x v="16"/>
    <n v="38.5"/>
    <n v="693"/>
    <x v="71"/>
    <d v="2025-03-14T00:00:00"/>
    <x v="1"/>
    <x v="0"/>
    <x v="2"/>
    <x v="0"/>
    <x v="11"/>
    <x v="3"/>
    <x v="10"/>
    <x v="1"/>
  </r>
  <r>
    <s v="TX501952"/>
    <x v="0"/>
    <x v="12"/>
    <n v="11.7"/>
    <n v="46.8"/>
    <x v="71"/>
    <d v="2025-03-15T00:00:00"/>
    <x v="2"/>
    <x v="1"/>
    <x v="0"/>
    <x v="0"/>
    <x v="20"/>
    <x v="1"/>
    <x v="10"/>
    <x v="2"/>
  </r>
  <r>
    <s v="TX501953"/>
    <x v="3"/>
    <x v="13"/>
    <n v="83.8"/>
    <n v="502.79999999999995"/>
    <x v="71"/>
    <d v="2025-03-14T00:00:00"/>
    <x v="1"/>
    <x v="0"/>
    <x v="0"/>
    <x v="0"/>
    <x v="21"/>
    <x v="3"/>
    <x v="10"/>
    <x v="1"/>
  </r>
  <r>
    <s v="TX501954"/>
    <x v="0"/>
    <x v="3"/>
    <n v="14"/>
    <n v="98"/>
    <x v="71"/>
    <d v="2025-03-16T00:00:00"/>
    <x v="1"/>
    <x v="0"/>
    <x v="1"/>
    <x v="0"/>
    <x v="22"/>
    <x v="2"/>
    <x v="10"/>
    <x v="1"/>
  </r>
  <r>
    <s v="TX501955"/>
    <x v="16"/>
    <x v="12"/>
    <n v="77.3"/>
    <n v="309.2"/>
    <x v="71"/>
    <d v="2025-03-15T00:00:00"/>
    <x v="2"/>
    <x v="4"/>
    <x v="2"/>
    <x v="0"/>
    <x v="3"/>
    <x v="1"/>
    <x v="10"/>
    <x v="2"/>
  </r>
  <r>
    <s v="TX501956"/>
    <x v="2"/>
    <x v="1"/>
    <n v="76.900000000000006"/>
    <n v="153.80000000000001"/>
    <x v="71"/>
    <d v="2025-03-17T00:00:00"/>
    <x v="2"/>
    <x v="0"/>
    <x v="1"/>
    <x v="0"/>
    <x v="3"/>
    <x v="5"/>
    <x v="10"/>
    <x v="2"/>
  </r>
  <r>
    <s v="TX501957"/>
    <x v="1"/>
    <x v="0"/>
    <n v="48"/>
    <n v="48"/>
    <x v="71"/>
    <d v="2025-03-15T00:00:00"/>
    <x v="2"/>
    <x v="1"/>
    <x v="2"/>
    <x v="0"/>
    <x v="3"/>
    <x v="1"/>
    <x v="10"/>
    <x v="2"/>
  </r>
  <r>
    <s v="TX501958"/>
    <x v="2"/>
    <x v="0"/>
    <n v="94.5"/>
    <n v="94.5"/>
    <x v="71"/>
    <d v="2025-03-16T00:00:00"/>
    <x v="1"/>
    <x v="1"/>
    <x v="1"/>
    <x v="0"/>
    <x v="3"/>
    <x v="2"/>
    <x v="10"/>
    <x v="1"/>
  </r>
  <r>
    <s v="TX501959"/>
    <x v="10"/>
    <x v="2"/>
    <n v="58.4"/>
    <n v="175.2"/>
    <x v="71"/>
    <d v="2025-03-15T00:00:00"/>
    <x v="2"/>
    <x v="1"/>
    <x v="2"/>
    <x v="0"/>
    <x v="3"/>
    <x v="1"/>
    <x v="10"/>
    <x v="2"/>
  </r>
  <r>
    <s v="TX501960"/>
    <x v="7"/>
    <x v="15"/>
    <n v="42.2"/>
    <n v="548.6"/>
    <x v="71"/>
    <d v="2025-03-13T00:00:00"/>
    <x v="1"/>
    <x v="0"/>
    <x v="0"/>
    <x v="0"/>
    <x v="25"/>
    <x v="7"/>
    <x v="10"/>
    <x v="1"/>
  </r>
  <r>
    <s v="TX501961"/>
    <x v="6"/>
    <x v="1"/>
    <n v="152.19999999999999"/>
    <n v="304.39999999999998"/>
    <x v="71"/>
    <d v="2025-03-14T00:00:00"/>
    <x v="1"/>
    <x v="4"/>
    <x v="1"/>
    <x v="0"/>
    <x v="25"/>
    <x v="3"/>
    <x v="10"/>
    <x v="1"/>
  </r>
  <r>
    <s v="TX501962"/>
    <x v="6"/>
    <x v="25"/>
    <n v="72"/>
    <n v="1728"/>
    <x v="71"/>
    <d v="2025-03-14T00:00:00"/>
    <x v="1"/>
    <x v="0"/>
    <x v="1"/>
    <x v="0"/>
    <x v="6"/>
    <x v="3"/>
    <x v="10"/>
    <x v="1"/>
  </r>
  <r>
    <s v="TX501963"/>
    <x v="1"/>
    <x v="44"/>
    <n v="70.900000000000006"/>
    <n v="1630.7"/>
    <x v="71"/>
    <d v="2025-03-14T00:00:00"/>
    <x v="2"/>
    <x v="2"/>
    <x v="0"/>
    <x v="0"/>
    <x v="8"/>
    <x v="3"/>
    <x v="10"/>
    <x v="2"/>
  </r>
  <r>
    <s v="TX501964"/>
    <x v="2"/>
    <x v="1"/>
    <n v="53.7"/>
    <n v="107.4"/>
    <x v="71"/>
    <d v="2025-03-14T00:00:00"/>
    <x v="1"/>
    <x v="2"/>
    <x v="2"/>
    <x v="0"/>
    <x v="8"/>
    <x v="3"/>
    <x v="10"/>
    <x v="1"/>
  </r>
  <r>
    <s v="TX501965"/>
    <x v="9"/>
    <x v="12"/>
    <n v="42.9"/>
    <n v="171.6"/>
    <x v="71"/>
    <d v="2025-03-14T00:00:00"/>
    <x v="2"/>
    <x v="2"/>
    <x v="4"/>
    <x v="0"/>
    <x v="9"/>
    <x v="3"/>
    <x v="10"/>
    <x v="2"/>
  </r>
  <r>
    <s v="TX501966"/>
    <x v="2"/>
    <x v="3"/>
    <n v="107.5"/>
    <n v="752.5"/>
    <x v="71"/>
    <d v="2025-03-14T00:00:00"/>
    <x v="1"/>
    <x v="1"/>
    <x v="0"/>
    <x v="0"/>
    <x v="11"/>
    <x v="3"/>
    <x v="10"/>
    <x v="1"/>
  </r>
  <r>
    <s v="TX501967"/>
    <x v="17"/>
    <x v="27"/>
    <n v="21.5"/>
    <n v="344"/>
    <x v="71"/>
    <d v="2025-03-14T00:00:00"/>
    <x v="1"/>
    <x v="1"/>
    <x v="1"/>
    <x v="0"/>
    <x v="32"/>
    <x v="3"/>
    <x v="10"/>
    <x v="1"/>
  </r>
  <r>
    <s v="TX501968"/>
    <x v="3"/>
    <x v="9"/>
    <n v="85.3"/>
    <n v="426.5"/>
    <x v="71"/>
    <d v="2025-03-15T00:00:00"/>
    <x v="2"/>
    <x v="3"/>
    <x v="0"/>
    <x v="0"/>
    <x v="18"/>
    <x v="1"/>
    <x v="10"/>
    <x v="2"/>
  </r>
  <r>
    <s v="TX501969"/>
    <x v="7"/>
    <x v="9"/>
    <n v="80.8"/>
    <n v="404"/>
    <x v="71"/>
    <d v="2025-03-21T00:00:00"/>
    <x v="3"/>
    <x v="1"/>
    <x v="1"/>
    <x v="0"/>
    <x v="19"/>
    <x v="9"/>
    <x v="10"/>
    <x v="3"/>
  </r>
  <r>
    <s v="TX501970"/>
    <x v="2"/>
    <x v="2"/>
    <n v="123.1"/>
    <n v="369.29999999999995"/>
    <x v="71"/>
    <d v="2025-03-15T00:00:00"/>
    <x v="0"/>
    <x v="2"/>
    <x v="0"/>
    <x v="0"/>
    <x v="21"/>
    <x v="1"/>
    <x v="10"/>
    <x v="0"/>
  </r>
  <r>
    <s v="TX501971"/>
    <x v="8"/>
    <x v="1"/>
    <n v="36.9"/>
    <n v="73.8"/>
    <x v="71"/>
    <d v="2025-03-15T00:00:00"/>
    <x v="2"/>
    <x v="2"/>
    <x v="4"/>
    <x v="0"/>
    <x v="51"/>
    <x v="1"/>
    <x v="10"/>
    <x v="2"/>
  </r>
  <r>
    <s v="TX501972"/>
    <x v="11"/>
    <x v="9"/>
    <n v="40"/>
    <n v="200"/>
    <x v="71"/>
    <d v="2025-03-14T00:00:00"/>
    <x v="1"/>
    <x v="0"/>
    <x v="0"/>
    <x v="0"/>
    <x v="1"/>
    <x v="3"/>
    <x v="10"/>
    <x v="1"/>
  </r>
  <r>
    <s v="TX501973"/>
    <x v="6"/>
    <x v="2"/>
    <n v="55.5"/>
    <n v="166.5"/>
    <x v="71"/>
    <d v="2025-03-14T00:00:00"/>
    <x v="1"/>
    <x v="4"/>
    <x v="2"/>
    <x v="0"/>
    <x v="1"/>
    <x v="3"/>
    <x v="10"/>
    <x v="1"/>
  </r>
  <r>
    <s v="TX501974"/>
    <x v="0"/>
    <x v="12"/>
    <n v="20.5"/>
    <n v="82"/>
    <x v="71"/>
    <d v="2025-03-17T00:00:00"/>
    <x v="2"/>
    <x v="4"/>
    <x v="0"/>
    <x v="0"/>
    <x v="1"/>
    <x v="5"/>
    <x v="10"/>
    <x v="2"/>
  </r>
  <r>
    <s v="TX501975"/>
    <x v="18"/>
    <x v="12"/>
    <n v="50.1"/>
    <n v="200.4"/>
    <x v="71"/>
    <d v="2025-03-14T00:00:00"/>
    <x v="2"/>
    <x v="4"/>
    <x v="0"/>
    <x v="0"/>
    <x v="1"/>
    <x v="3"/>
    <x v="10"/>
    <x v="2"/>
  </r>
  <r>
    <s v="TX501976"/>
    <x v="9"/>
    <x v="0"/>
    <n v="35.9"/>
    <n v="35.9"/>
    <x v="71"/>
    <d v="2025-03-15T00:00:00"/>
    <x v="1"/>
    <x v="1"/>
    <x v="2"/>
    <x v="0"/>
    <x v="1"/>
    <x v="1"/>
    <x v="10"/>
    <x v="1"/>
  </r>
  <r>
    <s v="TX501977"/>
    <x v="13"/>
    <x v="12"/>
    <n v="29.4"/>
    <n v="117.6"/>
    <x v="72"/>
    <d v="2025-03-15T00:00:00"/>
    <x v="1"/>
    <x v="2"/>
    <x v="2"/>
    <x v="0"/>
    <x v="33"/>
    <x v="3"/>
    <x v="10"/>
    <x v="1"/>
  </r>
  <r>
    <s v="TX501978"/>
    <x v="8"/>
    <x v="9"/>
    <n v="29.1"/>
    <n v="145.5"/>
    <x v="72"/>
    <d v="2025-03-22T00:00:00"/>
    <x v="3"/>
    <x v="2"/>
    <x v="1"/>
    <x v="0"/>
    <x v="33"/>
    <x v="9"/>
    <x v="10"/>
    <x v="3"/>
  </r>
  <r>
    <s v="TX501979"/>
    <x v="8"/>
    <x v="2"/>
    <n v="33.5"/>
    <n v="100.5"/>
    <x v="72"/>
    <d v="2025-03-26T00:00:00"/>
    <x v="1"/>
    <x v="0"/>
    <x v="2"/>
    <x v="0"/>
    <x v="22"/>
    <x v="13"/>
    <x v="10"/>
    <x v="1"/>
  </r>
  <r>
    <s v="TX501980"/>
    <x v="4"/>
    <x v="7"/>
    <n v="36"/>
    <n v="360"/>
    <x v="72"/>
    <d v="2025-03-14T00:00:00"/>
    <x v="1"/>
    <x v="3"/>
    <x v="2"/>
    <x v="0"/>
    <x v="3"/>
    <x v="7"/>
    <x v="10"/>
    <x v="1"/>
  </r>
  <r>
    <s v="TX501981"/>
    <x v="16"/>
    <x v="2"/>
    <n v="57.3"/>
    <n v="171.89999999999998"/>
    <x v="72"/>
    <d v="2025-03-18T00:00:00"/>
    <x v="2"/>
    <x v="0"/>
    <x v="2"/>
    <x v="0"/>
    <x v="3"/>
    <x v="5"/>
    <x v="10"/>
    <x v="2"/>
  </r>
  <r>
    <s v="TX501982"/>
    <x v="1"/>
    <x v="0"/>
    <n v="81.400000000000006"/>
    <n v="81.400000000000006"/>
    <x v="72"/>
    <d v="2025-03-15T00:00:00"/>
    <x v="2"/>
    <x v="2"/>
    <x v="2"/>
    <x v="0"/>
    <x v="3"/>
    <x v="3"/>
    <x v="10"/>
    <x v="2"/>
  </r>
  <r>
    <s v="TX501983"/>
    <x v="10"/>
    <x v="1"/>
    <n v="35.299999999999997"/>
    <n v="70.599999999999994"/>
    <x v="72"/>
    <d v="2025-03-18T00:00:00"/>
    <x v="1"/>
    <x v="0"/>
    <x v="2"/>
    <x v="0"/>
    <x v="3"/>
    <x v="5"/>
    <x v="10"/>
    <x v="1"/>
  </r>
  <r>
    <s v="TX501984"/>
    <x v="3"/>
    <x v="0"/>
    <n v="36.1"/>
    <n v="36.1"/>
    <x v="72"/>
    <d v="2025-03-15T00:00:00"/>
    <x v="2"/>
    <x v="4"/>
    <x v="0"/>
    <x v="0"/>
    <x v="3"/>
    <x v="3"/>
    <x v="10"/>
    <x v="2"/>
  </r>
  <r>
    <s v="TX501985"/>
    <x v="1"/>
    <x v="1"/>
    <n v="36.700000000000003"/>
    <n v="73.400000000000006"/>
    <x v="72"/>
    <d v="2025-03-16T00:00:00"/>
    <x v="2"/>
    <x v="0"/>
    <x v="2"/>
    <x v="0"/>
    <x v="3"/>
    <x v="1"/>
    <x v="10"/>
    <x v="2"/>
  </r>
  <r>
    <s v="TX501986"/>
    <x v="10"/>
    <x v="0"/>
    <n v="20.9"/>
    <n v="20.9"/>
    <x v="72"/>
    <d v="2025-03-16T00:00:00"/>
    <x v="2"/>
    <x v="0"/>
    <x v="4"/>
    <x v="0"/>
    <x v="3"/>
    <x v="1"/>
    <x v="10"/>
    <x v="2"/>
  </r>
  <r>
    <s v="TX501987"/>
    <x v="12"/>
    <x v="2"/>
    <n v="58.8"/>
    <n v="176.39999999999998"/>
    <x v="72"/>
    <d v="2025-03-18T00:00:00"/>
    <x v="1"/>
    <x v="0"/>
    <x v="2"/>
    <x v="0"/>
    <x v="25"/>
    <x v="5"/>
    <x v="10"/>
    <x v="1"/>
  </r>
  <r>
    <s v="TX501988"/>
    <x v="2"/>
    <x v="2"/>
    <n v="97.6"/>
    <n v="292.79999999999995"/>
    <x v="73"/>
    <d v="2025-03-17T00:00:00"/>
    <x v="0"/>
    <x v="0"/>
    <x v="0"/>
    <x v="0"/>
    <x v="6"/>
    <x v="1"/>
    <x v="10"/>
    <x v="0"/>
  </r>
  <r>
    <s v="TX501989"/>
    <x v="1"/>
    <x v="1"/>
    <n v="58.7"/>
    <n v="117.4"/>
    <x v="73"/>
    <d v="2025-03-18T00:00:00"/>
    <x v="2"/>
    <x v="0"/>
    <x v="1"/>
    <x v="0"/>
    <x v="6"/>
    <x v="2"/>
    <x v="10"/>
    <x v="2"/>
  </r>
  <r>
    <s v="TX501990"/>
    <x v="6"/>
    <x v="9"/>
    <n v="71.900000000000006"/>
    <n v="359.5"/>
    <x v="73"/>
    <d v="2025-03-16T00:00:00"/>
    <x v="0"/>
    <x v="0"/>
    <x v="1"/>
    <x v="0"/>
    <x v="6"/>
    <x v="3"/>
    <x v="10"/>
    <x v="0"/>
  </r>
  <r>
    <s v="TX501991"/>
    <x v="1"/>
    <x v="1"/>
    <n v="62.4"/>
    <n v="124.8"/>
    <x v="73"/>
    <d v="2025-03-17T00:00:00"/>
    <x v="0"/>
    <x v="0"/>
    <x v="1"/>
    <x v="0"/>
    <x v="8"/>
    <x v="1"/>
    <x v="10"/>
    <x v="0"/>
  </r>
  <r>
    <s v="TX501992"/>
    <x v="6"/>
    <x v="27"/>
    <n v="53.8"/>
    <n v="860.8"/>
    <x v="73"/>
    <d v="2025-03-16T00:00:00"/>
    <x v="2"/>
    <x v="1"/>
    <x v="0"/>
    <x v="0"/>
    <x v="8"/>
    <x v="3"/>
    <x v="10"/>
    <x v="2"/>
  </r>
  <r>
    <s v="TX501993"/>
    <x v="9"/>
    <x v="0"/>
    <n v="43.8"/>
    <n v="43.8"/>
    <x v="73"/>
    <d v="2025-03-22T00:00:00"/>
    <x v="2"/>
    <x v="0"/>
    <x v="2"/>
    <x v="0"/>
    <x v="8"/>
    <x v="6"/>
    <x v="10"/>
    <x v="2"/>
  </r>
  <r>
    <s v="TX501994"/>
    <x v="5"/>
    <x v="2"/>
    <n v="53.6"/>
    <n v="160.80000000000001"/>
    <x v="73"/>
    <d v="2025-03-16T00:00:00"/>
    <x v="1"/>
    <x v="3"/>
    <x v="0"/>
    <x v="0"/>
    <x v="8"/>
    <x v="3"/>
    <x v="10"/>
    <x v="1"/>
  </r>
  <r>
    <s v="TX501995"/>
    <x v="12"/>
    <x v="1"/>
    <n v="84.3"/>
    <n v="168.6"/>
    <x v="73"/>
    <d v="2025-03-18T00:00:00"/>
    <x v="1"/>
    <x v="4"/>
    <x v="1"/>
    <x v="0"/>
    <x v="8"/>
    <x v="2"/>
    <x v="10"/>
    <x v="1"/>
  </r>
  <r>
    <s v="TX501996"/>
    <x v="6"/>
    <x v="11"/>
    <n v="117.9"/>
    <n v="1061.1000000000001"/>
    <x v="73"/>
    <d v="2025-03-16T00:00:00"/>
    <x v="2"/>
    <x v="1"/>
    <x v="2"/>
    <x v="0"/>
    <x v="8"/>
    <x v="3"/>
    <x v="10"/>
    <x v="2"/>
  </r>
  <r>
    <s v="TX501997"/>
    <x v="4"/>
    <x v="8"/>
    <n v="30"/>
    <n v="240"/>
    <x v="73"/>
    <d v="2025-03-16T00:00:00"/>
    <x v="2"/>
    <x v="1"/>
    <x v="0"/>
    <x v="0"/>
    <x v="26"/>
    <x v="3"/>
    <x v="10"/>
    <x v="2"/>
  </r>
  <r>
    <s v="TX501998"/>
    <x v="14"/>
    <x v="2"/>
    <n v="37.299999999999997"/>
    <n v="111.89999999999999"/>
    <x v="73"/>
    <d v="2025-03-16T00:00:00"/>
    <x v="1"/>
    <x v="2"/>
    <x v="0"/>
    <x v="0"/>
    <x v="9"/>
    <x v="3"/>
    <x v="10"/>
    <x v="1"/>
  </r>
  <r>
    <s v="TX501999"/>
    <x v="4"/>
    <x v="11"/>
    <n v="25.1"/>
    <n v="225.9"/>
    <x v="73"/>
    <d v="2025-03-17T00:00:00"/>
    <x v="1"/>
    <x v="1"/>
    <x v="2"/>
    <x v="0"/>
    <x v="11"/>
    <x v="1"/>
    <x v="10"/>
    <x v="1"/>
  </r>
  <r>
    <s v="TX502000"/>
    <x v="8"/>
    <x v="5"/>
    <n v="36"/>
    <n v="396"/>
    <x v="73"/>
    <d v="2025-03-25T00:00:00"/>
    <x v="1"/>
    <x v="1"/>
    <x v="0"/>
    <x v="0"/>
    <x v="18"/>
    <x v="14"/>
    <x v="10"/>
    <x v="1"/>
  </r>
  <r>
    <s v="TX502001"/>
    <x v="16"/>
    <x v="2"/>
    <n v="48.5"/>
    <n v="145.5"/>
    <x v="73"/>
    <d v="2025-03-19T00:00:00"/>
    <x v="2"/>
    <x v="1"/>
    <x v="0"/>
    <x v="0"/>
    <x v="19"/>
    <x v="5"/>
    <x v="10"/>
    <x v="2"/>
  </r>
  <r>
    <s v="TX502002"/>
    <x v="17"/>
    <x v="13"/>
    <n v="21.1"/>
    <n v="126.60000000000001"/>
    <x v="73"/>
    <d v="2025-03-16T00:00:00"/>
    <x v="1"/>
    <x v="1"/>
    <x v="2"/>
    <x v="0"/>
    <x v="21"/>
    <x v="3"/>
    <x v="10"/>
    <x v="1"/>
  </r>
  <r>
    <s v="TX502003"/>
    <x v="15"/>
    <x v="21"/>
    <n v="43.2"/>
    <n v="604.80000000000007"/>
    <x v="73"/>
    <d v="2025-03-16T00:00:00"/>
    <x v="3"/>
    <x v="0"/>
    <x v="1"/>
    <x v="0"/>
    <x v="21"/>
    <x v="3"/>
    <x v="10"/>
    <x v="3"/>
  </r>
  <r>
    <s v="TX502004"/>
    <x v="9"/>
    <x v="1"/>
    <n v="21.1"/>
    <n v="42.2"/>
    <x v="73"/>
    <d v="2025-03-16T00:00:00"/>
    <x v="0"/>
    <x v="3"/>
    <x v="1"/>
    <x v="0"/>
    <x v="21"/>
    <x v="3"/>
    <x v="10"/>
    <x v="0"/>
  </r>
  <r>
    <s v="TX502005"/>
    <x v="6"/>
    <x v="12"/>
    <n v="41.3"/>
    <n v="165.2"/>
    <x v="73"/>
    <d v="2025-03-17T00:00:00"/>
    <x v="2"/>
    <x v="3"/>
    <x v="2"/>
    <x v="0"/>
    <x v="1"/>
    <x v="1"/>
    <x v="10"/>
    <x v="2"/>
  </r>
  <r>
    <s v="TX502006"/>
    <x v="8"/>
    <x v="1"/>
    <n v="15.3"/>
    <n v="30.6"/>
    <x v="73"/>
    <d v="2025-03-18T00:00:00"/>
    <x v="0"/>
    <x v="2"/>
    <x v="2"/>
    <x v="0"/>
    <x v="1"/>
    <x v="2"/>
    <x v="10"/>
    <x v="0"/>
  </r>
  <r>
    <s v="TX502007"/>
    <x v="1"/>
    <x v="0"/>
    <n v="54.6"/>
    <n v="54.6"/>
    <x v="73"/>
    <d v="2025-03-17T00:00:00"/>
    <x v="1"/>
    <x v="1"/>
    <x v="1"/>
    <x v="0"/>
    <x v="2"/>
    <x v="1"/>
    <x v="10"/>
    <x v="1"/>
  </r>
  <r>
    <s v="TX502008"/>
    <x v="8"/>
    <x v="0"/>
    <n v="15.9"/>
    <n v="15.9"/>
    <x v="73"/>
    <d v="2025-03-16T00:00:00"/>
    <x v="1"/>
    <x v="0"/>
    <x v="1"/>
    <x v="0"/>
    <x v="22"/>
    <x v="3"/>
    <x v="10"/>
    <x v="1"/>
  </r>
  <r>
    <s v="TX502009"/>
    <x v="9"/>
    <x v="0"/>
    <n v="50.2"/>
    <n v="50.2"/>
    <x v="73"/>
    <d v="2025-03-17T00:00:00"/>
    <x v="2"/>
    <x v="3"/>
    <x v="2"/>
    <x v="0"/>
    <x v="34"/>
    <x v="1"/>
    <x v="10"/>
    <x v="2"/>
  </r>
  <r>
    <s v="TX502010"/>
    <x v="11"/>
    <x v="12"/>
    <n v="85.1"/>
    <n v="340.4"/>
    <x v="73"/>
    <d v="2025-03-16T00:00:00"/>
    <x v="2"/>
    <x v="3"/>
    <x v="4"/>
    <x v="0"/>
    <x v="34"/>
    <x v="3"/>
    <x v="10"/>
    <x v="2"/>
  </r>
  <r>
    <s v="TX502011"/>
    <x v="11"/>
    <x v="1"/>
    <n v="41.4"/>
    <n v="82.8"/>
    <x v="73"/>
    <d v="2025-03-16T00:00:00"/>
    <x v="2"/>
    <x v="0"/>
    <x v="2"/>
    <x v="0"/>
    <x v="3"/>
    <x v="3"/>
    <x v="10"/>
    <x v="2"/>
  </r>
  <r>
    <s v="TX502012"/>
    <x v="4"/>
    <x v="3"/>
    <n v="32.700000000000003"/>
    <n v="228.90000000000003"/>
    <x v="73"/>
    <d v="2025-03-16T00:00:00"/>
    <x v="2"/>
    <x v="2"/>
    <x v="1"/>
    <x v="0"/>
    <x v="3"/>
    <x v="3"/>
    <x v="10"/>
    <x v="2"/>
  </r>
  <r>
    <s v="TX502013"/>
    <x v="4"/>
    <x v="1"/>
    <n v="41.6"/>
    <n v="83.2"/>
    <x v="73"/>
    <d v="2025-03-17T00:00:00"/>
    <x v="1"/>
    <x v="4"/>
    <x v="1"/>
    <x v="0"/>
    <x v="3"/>
    <x v="1"/>
    <x v="10"/>
    <x v="1"/>
  </r>
  <r>
    <s v="TX502014"/>
    <x v="5"/>
    <x v="12"/>
    <n v="64.8"/>
    <n v="259.2"/>
    <x v="73"/>
    <d v="2025-03-16T00:00:00"/>
    <x v="0"/>
    <x v="2"/>
    <x v="0"/>
    <x v="0"/>
    <x v="3"/>
    <x v="3"/>
    <x v="10"/>
    <x v="0"/>
  </r>
  <r>
    <s v="TX502015"/>
    <x v="15"/>
    <x v="1"/>
    <n v="33.6"/>
    <n v="67.2"/>
    <x v="73"/>
    <d v="2025-03-16T00:00:00"/>
    <x v="1"/>
    <x v="0"/>
    <x v="2"/>
    <x v="0"/>
    <x v="3"/>
    <x v="3"/>
    <x v="10"/>
    <x v="1"/>
  </r>
  <r>
    <s v="TX502016"/>
    <x v="6"/>
    <x v="2"/>
    <n v="100.7"/>
    <n v="302.10000000000002"/>
    <x v="73"/>
    <d v="2025-03-16T00:00:00"/>
    <x v="0"/>
    <x v="1"/>
    <x v="0"/>
    <x v="0"/>
    <x v="3"/>
    <x v="3"/>
    <x v="10"/>
    <x v="0"/>
  </r>
  <r>
    <s v="TX502017"/>
    <x v="4"/>
    <x v="1"/>
    <n v="49.3"/>
    <n v="98.6"/>
    <x v="74"/>
    <d v="2025-03-18T00:00:00"/>
    <x v="2"/>
    <x v="4"/>
    <x v="2"/>
    <x v="0"/>
    <x v="3"/>
    <x v="1"/>
    <x v="11"/>
    <x v="2"/>
  </r>
  <r>
    <s v="TX502018"/>
    <x v="2"/>
    <x v="13"/>
    <n v="97"/>
    <n v="582"/>
    <x v="74"/>
    <d v="2025-03-19T00:00:00"/>
    <x v="1"/>
    <x v="2"/>
    <x v="2"/>
    <x v="0"/>
    <x v="3"/>
    <x v="2"/>
    <x v="11"/>
    <x v="1"/>
  </r>
  <r>
    <s v="TX502019"/>
    <x v="0"/>
    <x v="13"/>
    <n v="25.2"/>
    <n v="151.19999999999999"/>
    <x v="74"/>
    <d v="2025-03-19T00:00:00"/>
    <x v="2"/>
    <x v="4"/>
    <x v="2"/>
    <x v="0"/>
    <x v="3"/>
    <x v="2"/>
    <x v="11"/>
    <x v="2"/>
  </r>
  <r>
    <s v="TX502020"/>
    <x v="0"/>
    <x v="5"/>
    <n v="12.2"/>
    <n v="134.19999999999999"/>
    <x v="74"/>
    <d v="2025-03-17T00:00:00"/>
    <x v="0"/>
    <x v="0"/>
    <x v="1"/>
    <x v="0"/>
    <x v="3"/>
    <x v="3"/>
    <x v="11"/>
    <x v="0"/>
  </r>
  <r>
    <s v="TX502021"/>
    <x v="8"/>
    <x v="3"/>
    <n v="38.799999999999997"/>
    <n v="271.59999999999997"/>
    <x v="74"/>
    <d v="2025-03-18T00:00:00"/>
    <x v="2"/>
    <x v="1"/>
    <x v="1"/>
    <x v="0"/>
    <x v="23"/>
    <x v="1"/>
    <x v="11"/>
    <x v="2"/>
  </r>
  <r>
    <s v="TX502022"/>
    <x v="2"/>
    <x v="12"/>
    <n v="53.2"/>
    <n v="212.8"/>
    <x v="74"/>
    <d v="2025-03-17T00:00:00"/>
    <x v="1"/>
    <x v="0"/>
    <x v="2"/>
    <x v="0"/>
    <x v="8"/>
    <x v="3"/>
    <x v="11"/>
    <x v="1"/>
  </r>
  <r>
    <s v="TX502023"/>
    <x v="6"/>
    <x v="3"/>
    <n v="151"/>
    <n v="1057"/>
    <x v="74"/>
    <d v="2025-03-17T00:00:00"/>
    <x v="3"/>
    <x v="1"/>
    <x v="1"/>
    <x v="0"/>
    <x v="8"/>
    <x v="3"/>
    <x v="11"/>
    <x v="3"/>
  </r>
  <r>
    <s v="TX502024"/>
    <x v="1"/>
    <x v="1"/>
    <n v="37.1"/>
    <n v="74.2"/>
    <x v="74"/>
    <d v="2025-03-17T00:00:00"/>
    <x v="2"/>
    <x v="4"/>
    <x v="0"/>
    <x v="0"/>
    <x v="8"/>
    <x v="3"/>
    <x v="11"/>
    <x v="2"/>
  </r>
  <r>
    <s v="TX502025"/>
    <x v="5"/>
    <x v="1"/>
    <n v="38.9"/>
    <n v="77.8"/>
    <x v="74"/>
    <d v="2025-03-17T00:00:00"/>
    <x v="1"/>
    <x v="4"/>
    <x v="0"/>
    <x v="0"/>
    <x v="8"/>
    <x v="3"/>
    <x v="11"/>
    <x v="1"/>
  </r>
  <r>
    <s v="TX502026"/>
    <x v="10"/>
    <x v="1"/>
    <n v="35.200000000000003"/>
    <n v="70.400000000000006"/>
    <x v="74"/>
    <d v="2025-03-17T00:00:00"/>
    <x v="1"/>
    <x v="0"/>
    <x v="2"/>
    <x v="0"/>
    <x v="17"/>
    <x v="3"/>
    <x v="11"/>
    <x v="1"/>
  </r>
  <r>
    <s v="TX502027"/>
    <x v="0"/>
    <x v="1"/>
    <n v="22.3"/>
    <n v="44.6"/>
    <x v="74"/>
    <d v="2025-03-18T00:00:00"/>
    <x v="2"/>
    <x v="1"/>
    <x v="0"/>
    <x v="0"/>
    <x v="9"/>
    <x v="1"/>
    <x v="11"/>
    <x v="2"/>
  </r>
  <r>
    <s v="TX502028"/>
    <x v="9"/>
    <x v="0"/>
    <n v="43.3"/>
    <n v="43.3"/>
    <x v="74"/>
    <d v="2025-03-19T00:00:00"/>
    <x v="2"/>
    <x v="0"/>
    <x v="2"/>
    <x v="0"/>
    <x v="11"/>
    <x v="2"/>
    <x v="11"/>
    <x v="2"/>
  </r>
  <r>
    <s v="TX502029"/>
    <x v="6"/>
    <x v="13"/>
    <n v="75.900000000000006"/>
    <n v="455.40000000000003"/>
    <x v="74"/>
    <d v="2025-03-22T00:00:00"/>
    <x v="1"/>
    <x v="0"/>
    <x v="0"/>
    <x v="0"/>
    <x v="11"/>
    <x v="4"/>
    <x v="11"/>
    <x v="1"/>
  </r>
  <r>
    <s v="TX502030"/>
    <x v="6"/>
    <x v="2"/>
    <n v="78.7"/>
    <n v="236.10000000000002"/>
    <x v="74"/>
    <d v="2025-03-20T00:00:00"/>
    <x v="2"/>
    <x v="2"/>
    <x v="1"/>
    <x v="0"/>
    <x v="11"/>
    <x v="5"/>
    <x v="11"/>
    <x v="2"/>
  </r>
  <r>
    <s v="TX502031"/>
    <x v="1"/>
    <x v="0"/>
    <n v="66.3"/>
    <n v="66.3"/>
    <x v="74"/>
    <d v="2025-03-20T00:00:00"/>
    <x v="2"/>
    <x v="0"/>
    <x v="2"/>
    <x v="0"/>
    <x v="19"/>
    <x v="5"/>
    <x v="11"/>
    <x v="2"/>
  </r>
  <r>
    <s v="TX502032"/>
    <x v="8"/>
    <x v="1"/>
    <n v="33.6"/>
    <n v="67.2"/>
    <x v="74"/>
    <d v="2025-03-16T00:00:00"/>
    <x v="1"/>
    <x v="0"/>
    <x v="1"/>
    <x v="0"/>
    <x v="19"/>
    <x v="7"/>
    <x v="11"/>
    <x v="1"/>
  </r>
  <r>
    <s v="TX502033"/>
    <x v="2"/>
    <x v="3"/>
    <n v="61.4"/>
    <n v="429.8"/>
    <x v="74"/>
    <d v="2025-03-17T00:00:00"/>
    <x v="1"/>
    <x v="4"/>
    <x v="0"/>
    <x v="0"/>
    <x v="19"/>
    <x v="3"/>
    <x v="11"/>
    <x v="1"/>
  </r>
  <r>
    <s v="TX502034"/>
    <x v="8"/>
    <x v="1"/>
    <n v="17.5"/>
    <n v="35"/>
    <x v="74"/>
    <d v="2025-03-19T00:00:00"/>
    <x v="2"/>
    <x v="0"/>
    <x v="0"/>
    <x v="0"/>
    <x v="21"/>
    <x v="2"/>
    <x v="11"/>
    <x v="2"/>
  </r>
  <r>
    <s v="TX502035"/>
    <x v="8"/>
    <x v="1"/>
    <n v="32.5"/>
    <n v="65"/>
    <x v="74"/>
    <d v="2025-03-19T00:00:00"/>
    <x v="2"/>
    <x v="1"/>
    <x v="0"/>
    <x v="0"/>
    <x v="21"/>
    <x v="2"/>
    <x v="11"/>
    <x v="2"/>
  </r>
  <r>
    <s v="TX502036"/>
    <x v="4"/>
    <x v="0"/>
    <n v="34.6"/>
    <n v="34.6"/>
    <x v="74"/>
    <d v="2025-03-17T00:00:00"/>
    <x v="2"/>
    <x v="4"/>
    <x v="0"/>
    <x v="0"/>
    <x v="21"/>
    <x v="3"/>
    <x v="11"/>
    <x v="2"/>
  </r>
  <r>
    <s v="TX502037"/>
    <x v="2"/>
    <x v="0"/>
    <n v="75.900000000000006"/>
    <n v="75.900000000000006"/>
    <x v="74"/>
    <d v="2025-03-16T00:00:00"/>
    <x v="1"/>
    <x v="1"/>
    <x v="2"/>
    <x v="0"/>
    <x v="21"/>
    <x v="7"/>
    <x v="11"/>
    <x v="1"/>
  </r>
  <r>
    <s v="TX502038"/>
    <x v="1"/>
    <x v="2"/>
    <n v="42.1"/>
    <n v="126.30000000000001"/>
    <x v="74"/>
    <d v="2025-03-19T00:00:00"/>
    <x v="1"/>
    <x v="1"/>
    <x v="1"/>
    <x v="0"/>
    <x v="21"/>
    <x v="2"/>
    <x v="11"/>
    <x v="1"/>
  </r>
  <r>
    <s v="TX502039"/>
    <x v="7"/>
    <x v="2"/>
    <n v="65.3"/>
    <n v="195.89999999999998"/>
    <x v="74"/>
    <d v="2025-03-23T00:00:00"/>
    <x v="1"/>
    <x v="0"/>
    <x v="0"/>
    <x v="0"/>
    <x v="1"/>
    <x v="6"/>
    <x v="11"/>
    <x v="1"/>
  </r>
  <r>
    <s v="TX502040"/>
    <x v="15"/>
    <x v="0"/>
    <n v="20.6"/>
    <n v="20.6"/>
    <x v="74"/>
    <d v="2025-03-19T00:00:00"/>
    <x v="1"/>
    <x v="3"/>
    <x v="0"/>
    <x v="0"/>
    <x v="42"/>
    <x v="2"/>
    <x v="11"/>
    <x v="1"/>
  </r>
  <r>
    <s v="TX502041"/>
    <x v="8"/>
    <x v="3"/>
    <n v="16.5"/>
    <n v="115.5"/>
    <x v="74"/>
    <d v="2025-03-17T00:00:00"/>
    <x v="1"/>
    <x v="1"/>
    <x v="1"/>
    <x v="0"/>
    <x v="2"/>
    <x v="3"/>
    <x v="11"/>
    <x v="1"/>
  </r>
  <r>
    <s v="TX502042"/>
    <x v="16"/>
    <x v="7"/>
    <n v="36.200000000000003"/>
    <n v="362"/>
    <x v="74"/>
    <d v="2025-03-18T00:00:00"/>
    <x v="1"/>
    <x v="0"/>
    <x v="2"/>
    <x v="0"/>
    <x v="2"/>
    <x v="1"/>
    <x v="11"/>
    <x v="1"/>
  </r>
  <r>
    <s v="TX502043"/>
    <x v="6"/>
    <x v="0"/>
    <n v="53.2"/>
    <n v="53.2"/>
    <x v="74"/>
    <d v="2025-03-17T00:00:00"/>
    <x v="2"/>
    <x v="0"/>
    <x v="1"/>
    <x v="0"/>
    <x v="22"/>
    <x v="3"/>
    <x v="11"/>
    <x v="2"/>
  </r>
  <r>
    <s v="TX502044"/>
    <x v="2"/>
    <x v="21"/>
    <n v="176"/>
    <n v="2464"/>
    <x v="74"/>
    <d v="2025-03-17T00:00:00"/>
    <x v="2"/>
    <x v="0"/>
    <x v="1"/>
    <x v="0"/>
    <x v="3"/>
    <x v="3"/>
    <x v="11"/>
    <x v="2"/>
  </r>
  <r>
    <s v="TX502045"/>
    <x v="1"/>
    <x v="0"/>
    <n v="52.4"/>
    <n v="52.4"/>
    <x v="74"/>
    <d v="2025-03-17T00:00:00"/>
    <x v="1"/>
    <x v="1"/>
    <x v="0"/>
    <x v="0"/>
    <x v="3"/>
    <x v="3"/>
    <x v="11"/>
    <x v="1"/>
  </r>
  <r>
    <s v="TX502046"/>
    <x v="10"/>
    <x v="2"/>
    <n v="48.2"/>
    <n v="144.60000000000002"/>
    <x v="74"/>
    <d v="2025-03-17T00:00:00"/>
    <x v="2"/>
    <x v="1"/>
    <x v="2"/>
    <x v="0"/>
    <x v="3"/>
    <x v="3"/>
    <x v="11"/>
    <x v="2"/>
  </r>
  <r>
    <s v="TX502047"/>
    <x v="15"/>
    <x v="0"/>
    <n v="51.6"/>
    <n v="51.6"/>
    <x v="74"/>
    <d v="2025-03-20T00:00:00"/>
    <x v="2"/>
    <x v="2"/>
    <x v="1"/>
    <x v="0"/>
    <x v="3"/>
    <x v="5"/>
    <x v="11"/>
    <x v="2"/>
  </r>
  <r>
    <s v="TX502048"/>
    <x v="0"/>
    <x v="12"/>
    <n v="33.700000000000003"/>
    <n v="134.80000000000001"/>
    <x v="75"/>
    <d v="2025-03-18T00:00:00"/>
    <x v="1"/>
    <x v="0"/>
    <x v="0"/>
    <x v="0"/>
    <x v="3"/>
    <x v="3"/>
    <x v="11"/>
    <x v="1"/>
  </r>
  <r>
    <s v="TX502049"/>
    <x v="4"/>
    <x v="7"/>
    <n v="36.299999999999997"/>
    <n v="363"/>
    <x v="75"/>
    <d v="2025-03-19T00:00:00"/>
    <x v="2"/>
    <x v="4"/>
    <x v="1"/>
    <x v="0"/>
    <x v="3"/>
    <x v="1"/>
    <x v="11"/>
    <x v="2"/>
  </r>
  <r>
    <s v="TX502050"/>
    <x v="8"/>
    <x v="0"/>
    <n v="23.4"/>
    <n v="23.4"/>
    <x v="75"/>
    <d v="2025-03-22T00:00:00"/>
    <x v="2"/>
    <x v="1"/>
    <x v="2"/>
    <x v="0"/>
    <x v="3"/>
    <x v="0"/>
    <x v="11"/>
    <x v="2"/>
  </r>
  <r>
    <s v="TX502051"/>
    <x v="15"/>
    <x v="8"/>
    <n v="56.6"/>
    <n v="452.8"/>
    <x v="75"/>
    <d v="2025-03-19T00:00:00"/>
    <x v="2"/>
    <x v="1"/>
    <x v="0"/>
    <x v="0"/>
    <x v="3"/>
    <x v="1"/>
    <x v="11"/>
    <x v="2"/>
  </r>
  <r>
    <s v="TX502052"/>
    <x v="15"/>
    <x v="1"/>
    <n v="26.8"/>
    <n v="53.6"/>
    <x v="75"/>
    <d v="2025-03-18T00:00:00"/>
    <x v="1"/>
    <x v="0"/>
    <x v="0"/>
    <x v="0"/>
    <x v="4"/>
    <x v="3"/>
    <x v="11"/>
    <x v="1"/>
  </r>
  <r>
    <s v="TX502053"/>
    <x v="0"/>
    <x v="2"/>
    <n v="11.3"/>
    <n v="33.900000000000006"/>
    <x v="75"/>
    <d v="2025-03-19T00:00:00"/>
    <x v="1"/>
    <x v="2"/>
    <x v="0"/>
    <x v="0"/>
    <x v="25"/>
    <x v="1"/>
    <x v="11"/>
    <x v="1"/>
  </r>
  <r>
    <s v="TX502054"/>
    <x v="6"/>
    <x v="2"/>
    <n v="60.1"/>
    <n v="180.3"/>
    <x v="75"/>
    <d v="2025-03-20T00:00:00"/>
    <x v="2"/>
    <x v="0"/>
    <x v="0"/>
    <x v="0"/>
    <x v="7"/>
    <x v="2"/>
    <x v="11"/>
    <x v="2"/>
  </r>
  <r>
    <s v="TX502055"/>
    <x v="0"/>
    <x v="5"/>
    <n v="27.7"/>
    <n v="304.7"/>
    <x v="75"/>
    <d v="2025-03-22T00:00:00"/>
    <x v="2"/>
    <x v="0"/>
    <x v="0"/>
    <x v="0"/>
    <x v="8"/>
    <x v="0"/>
    <x v="11"/>
    <x v="2"/>
  </r>
  <r>
    <s v="TX502056"/>
    <x v="15"/>
    <x v="0"/>
    <n v="71.400000000000006"/>
    <n v="71.400000000000006"/>
    <x v="75"/>
    <d v="2025-03-20T00:00:00"/>
    <x v="1"/>
    <x v="0"/>
    <x v="2"/>
    <x v="0"/>
    <x v="8"/>
    <x v="2"/>
    <x v="11"/>
    <x v="1"/>
  </r>
  <r>
    <s v="TX502057"/>
    <x v="2"/>
    <x v="1"/>
    <n v="66.7"/>
    <n v="133.4"/>
    <x v="75"/>
    <d v="2025-03-18T00:00:00"/>
    <x v="2"/>
    <x v="0"/>
    <x v="2"/>
    <x v="0"/>
    <x v="8"/>
    <x v="3"/>
    <x v="11"/>
    <x v="2"/>
  </r>
  <r>
    <s v="TX502058"/>
    <x v="13"/>
    <x v="9"/>
    <n v="39.1"/>
    <n v="195.5"/>
    <x v="75"/>
    <d v="2025-03-18T00:00:00"/>
    <x v="2"/>
    <x v="0"/>
    <x v="0"/>
    <x v="0"/>
    <x v="8"/>
    <x v="3"/>
    <x v="11"/>
    <x v="2"/>
  </r>
  <r>
    <s v="TX502059"/>
    <x v="8"/>
    <x v="12"/>
    <n v="24.9"/>
    <n v="99.6"/>
    <x v="75"/>
    <d v="2025-03-22T00:00:00"/>
    <x v="1"/>
    <x v="1"/>
    <x v="2"/>
    <x v="0"/>
    <x v="8"/>
    <x v="0"/>
    <x v="11"/>
    <x v="1"/>
  </r>
  <r>
    <s v="TX502060"/>
    <x v="5"/>
    <x v="9"/>
    <n v="29.2"/>
    <n v="146"/>
    <x v="75"/>
    <d v="2025-03-18T00:00:00"/>
    <x v="1"/>
    <x v="0"/>
    <x v="2"/>
    <x v="0"/>
    <x v="17"/>
    <x v="3"/>
    <x v="11"/>
    <x v="1"/>
  </r>
  <r>
    <s v="TX502061"/>
    <x v="13"/>
    <x v="21"/>
    <n v="28.3"/>
    <n v="396.2"/>
    <x v="75"/>
    <d v="2025-03-19T00:00:00"/>
    <x v="2"/>
    <x v="1"/>
    <x v="0"/>
    <x v="0"/>
    <x v="11"/>
    <x v="1"/>
    <x v="11"/>
    <x v="2"/>
  </r>
  <r>
    <s v="TX502062"/>
    <x v="9"/>
    <x v="2"/>
    <n v="37.799999999999997"/>
    <n v="113.39999999999999"/>
    <x v="75"/>
    <d v="2025-03-18T00:00:00"/>
    <x v="2"/>
    <x v="0"/>
    <x v="1"/>
    <x v="0"/>
    <x v="11"/>
    <x v="3"/>
    <x v="11"/>
    <x v="2"/>
  </r>
  <r>
    <s v="TX502063"/>
    <x v="14"/>
    <x v="3"/>
    <n v="28.1"/>
    <n v="196.70000000000002"/>
    <x v="75"/>
    <d v="2025-03-23T00:00:00"/>
    <x v="2"/>
    <x v="2"/>
    <x v="0"/>
    <x v="0"/>
    <x v="11"/>
    <x v="4"/>
    <x v="11"/>
    <x v="2"/>
  </r>
  <r>
    <s v="TX502064"/>
    <x v="1"/>
    <x v="2"/>
    <n v="59.7"/>
    <n v="179.10000000000002"/>
    <x v="75"/>
    <d v="2025-03-19T00:00:00"/>
    <x v="2"/>
    <x v="2"/>
    <x v="0"/>
    <x v="0"/>
    <x v="11"/>
    <x v="1"/>
    <x v="11"/>
    <x v="2"/>
  </r>
  <r>
    <s v="TX502065"/>
    <x v="16"/>
    <x v="0"/>
    <n v="71.900000000000006"/>
    <n v="71.900000000000006"/>
    <x v="75"/>
    <d v="2025-03-18T00:00:00"/>
    <x v="1"/>
    <x v="1"/>
    <x v="1"/>
    <x v="0"/>
    <x v="11"/>
    <x v="3"/>
    <x v="11"/>
    <x v="1"/>
  </r>
  <r>
    <s v="TX502066"/>
    <x v="1"/>
    <x v="1"/>
    <n v="56.9"/>
    <n v="113.8"/>
    <x v="75"/>
    <d v="2025-03-18T00:00:00"/>
    <x v="1"/>
    <x v="2"/>
    <x v="0"/>
    <x v="0"/>
    <x v="13"/>
    <x v="3"/>
    <x v="11"/>
    <x v="1"/>
  </r>
  <r>
    <s v="TX502067"/>
    <x v="8"/>
    <x v="1"/>
    <n v="15.8"/>
    <n v="31.6"/>
    <x v="75"/>
    <d v="2025-03-20T00:00:00"/>
    <x v="2"/>
    <x v="2"/>
    <x v="1"/>
    <x v="0"/>
    <x v="1"/>
    <x v="2"/>
    <x v="11"/>
    <x v="2"/>
  </r>
  <r>
    <s v="TX502068"/>
    <x v="11"/>
    <x v="12"/>
    <n v="61.7"/>
    <n v="246.8"/>
    <x v="75"/>
    <d v="2025-03-19T00:00:00"/>
    <x v="2"/>
    <x v="2"/>
    <x v="0"/>
    <x v="0"/>
    <x v="22"/>
    <x v="1"/>
    <x v="11"/>
    <x v="2"/>
  </r>
  <r>
    <s v="TX502069"/>
    <x v="2"/>
    <x v="7"/>
    <n v="105.2"/>
    <n v="1052"/>
    <x v="75"/>
    <d v="2025-03-19T00:00:00"/>
    <x v="1"/>
    <x v="1"/>
    <x v="4"/>
    <x v="0"/>
    <x v="3"/>
    <x v="1"/>
    <x v="11"/>
    <x v="1"/>
  </r>
  <r>
    <s v="TX502070"/>
    <x v="0"/>
    <x v="1"/>
    <n v="17"/>
    <n v="34"/>
    <x v="75"/>
    <d v="2025-03-19T00:00:00"/>
    <x v="2"/>
    <x v="2"/>
    <x v="0"/>
    <x v="0"/>
    <x v="3"/>
    <x v="1"/>
    <x v="11"/>
    <x v="2"/>
  </r>
  <r>
    <s v="TX502071"/>
    <x v="6"/>
    <x v="2"/>
    <n v="84.1"/>
    <n v="252.29999999999998"/>
    <x v="75"/>
    <d v="2025-03-18T00:00:00"/>
    <x v="1"/>
    <x v="2"/>
    <x v="0"/>
    <x v="0"/>
    <x v="3"/>
    <x v="3"/>
    <x v="11"/>
    <x v="1"/>
  </r>
  <r>
    <s v="TX502072"/>
    <x v="3"/>
    <x v="12"/>
    <n v="59.5"/>
    <n v="238"/>
    <x v="75"/>
    <d v="2025-03-22T00:00:00"/>
    <x v="1"/>
    <x v="0"/>
    <x v="2"/>
    <x v="0"/>
    <x v="3"/>
    <x v="0"/>
    <x v="11"/>
    <x v="1"/>
  </r>
  <r>
    <s v="TX502073"/>
    <x v="8"/>
    <x v="1"/>
    <n v="57.5"/>
    <n v="115"/>
    <x v="75"/>
    <d v="2025-03-19T00:00:00"/>
    <x v="1"/>
    <x v="1"/>
    <x v="2"/>
    <x v="0"/>
    <x v="3"/>
    <x v="1"/>
    <x v="11"/>
    <x v="1"/>
  </r>
  <r>
    <s v="TX502074"/>
    <x v="8"/>
    <x v="0"/>
    <n v="34.299999999999997"/>
    <n v="34.299999999999997"/>
    <x v="75"/>
    <d v="2025-03-18T00:00:00"/>
    <x v="2"/>
    <x v="4"/>
    <x v="2"/>
    <x v="0"/>
    <x v="3"/>
    <x v="3"/>
    <x v="11"/>
    <x v="2"/>
  </r>
  <r>
    <s v="TX502075"/>
    <x v="5"/>
    <x v="1"/>
    <n v="27.8"/>
    <n v="55.6"/>
    <x v="76"/>
    <d v="2025-03-20T00:00:00"/>
    <x v="2"/>
    <x v="0"/>
    <x v="0"/>
    <x v="0"/>
    <x v="3"/>
    <x v="1"/>
    <x v="11"/>
    <x v="2"/>
  </r>
  <r>
    <s v="TX502076"/>
    <x v="12"/>
    <x v="1"/>
    <n v="85"/>
    <n v="170"/>
    <x v="76"/>
    <d v="2025-03-18T00:00:00"/>
    <x v="1"/>
    <x v="2"/>
    <x v="2"/>
    <x v="0"/>
    <x v="3"/>
    <x v="7"/>
    <x v="11"/>
    <x v="1"/>
  </r>
  <r>
    <s v="TX502077"/>
    <x v="6"/>
    <x v="1"/>
    <n v="95"/>
    <n v="190"/>
    <x v="76"/>
    <d v="2025-03-20T00:00:00"/>
    <x v="2"/>
    <x v="0"/>
    <x v="0"/>
    <x v="0"/>
    <x v="3"/>
    <x v="1"/>
    <x v="11"/>
    <x v="2"/>
  </r>
  <r>
    <s v="TX502078"/>
    <x v="16"/>
    <x v="1"/>
    <n v="32"/>
    <n v="64"/>
    <x v="76"/>
    <d v="2025-03-20T00:00:00"/>
    <x v="1"/>
    <x v="0"/>
    <x v="1"/>
    <x v="0"/>
    <x v="3"/>
    <x v="1"/>
    <x v="11"/>
    <x v="1"/>
  </r>
  <r>
    <s v="TX502079"/>
    <x v="2"/>
    <x v="1"/>
    <n v="65.2"/>
    <n v="130.4"/>
    <x v="76"/>
    <d v="2025-03-19T00:00:00"/>
    <x v="2"/>
    <x v="1"/>
    <x v="0"/>
    <x v="0"/>
    <x v="3"/>
    <x v="3"/>
    <x v="11"/>
    <x v="2"/>
  </r>
  <r>
    <s v="TX502080"/>
    <x v="17"/>
    <x v="12"/>
    <n v="22"/>
    <n v="88"/>
    <x v="76"/>
    <d v="2025-03-19T00:00:00"/>
    <x v="1"/>
    <x v="1"/>
    <x v="2"/>
    <x v="0"/>
    <x v="3"/>
    <x v="3"/>
    <x v="11"/>
    <x v="1"/>
  </r>
  <r>
    <s v="TX502081"/>
    <x v="15"/>
    <x v="2"/>
    <n v="69.400000000000006"/>
    <n v="208.20000000000002"/>
    <x v="76"/>
    <d v="2025-03-21T00:00:00"/>
    <x v="1"/>
    <x v="1"/>
    <x v="2"/>
    <x v="0"/>
    <x v="3"/>
    <x v="2"/>
    <x v="11"/>
    <x v="1"/>
  </r>
  <r>
    <s v="TX502082"/>
    <x v="10"/>
    <x v="13"/>
    <n v="31.5"/>
    <n v="189"/>
    <x v="76"/>
    <d v="2025-03-20T00:00:00"/>
    <x v="2"/>
    <x v="0"/>
    <x v="2"/>
    <x v="0"/>
    <x v="3"/>
    <x v="1"/>
    <x v="11"/>
    <x v="2"/>
  </r>
  <r>
    <s v="TX502083"/>
    <x v="6"/>
    <x v="0"/>
    <n v="45.8"/>
    <n v="45.8"/>
    <x v="76"/>
    <d v="2025-03-22T00:00:00"/>
    <x v="3"/>
    <x v="0"/>
    <x v="0"/>
    <x v="0"/>
    <x v="3"/>
    <x v="5"/>
    <x v="11"/>
    <x v="3"/>
  </r>
  <r>
    <s v="TX502084"/>
    <x v="19"/>
    <x v="12"/>
    <n v="12.8"/>
    <n v="51.2"/>
    <x v="76"/>
    <d v="2025-03-25T00:00:00"/>
    <x v="2"/>
    <x v="1"/>
    <x v="1"/>
    <x v="0"/>
    <x v="5"/>
    <x v="6"/>
    <x v="11"/>
    <x v="2"/>
  </r>
  <r>
    <s v="TX502085"/>
    <x v="5"/>
    <x v="2"/>
    <n v="115.3"/>
    <n v="345.9"/>
    <x v="76"/>
    <d v="2025-03-19T00:00:00"/>
    <x v="2"/>
    <x v="2"/>
    <x v="2"/>
    <x v="0"/>
    <x v="6"/>
    <x v="3"/>
    <x v="11"/>
    <x v="2"/>
  </r>
  <r>
    <s v="TX502086"/>
    <x v="5"/>
    <x v="1"/>
    <n v="85"/>
    <n v="170"/>
    <x v="76"/>
    <d v="2025-03-20T00:00:00"/>
    <x v="2"/>
    <x v="1"/>
    <x v="0"/>
    <x v="0"/>
    <x v="7"/>
    <x v="1"/>
    <x v="11"/>
    <x v="2"/>
  </r>
  <r>
    <s v="TX502087"/>
    <x v="8"/>
    <x v="2"/>
    <n v="56.6"/>
    <n v="169.8"/>
    <x v="76"/>
    <d v="2025-03-19T00:00:00"/>
    <x v="2"/>
    <x v="1"/>
    <x v="2"/>
    <x v="0"/>
    <x v="7"/>
    <x v="3"/>
    <x v="11"/>
    <x v="2"/>
  </r>
  <r>
    <s v="TX502088"/>
    <x v="15"/>
    <x v="6"/>
    <n v="46.3"/>
    <n v="1250.0999999999999"/>
    <x v="76"/>
    <d v="2025-03-21T00:00:00"/>
    <x v="1"/>
    <x v="0"/>
    <x v="0"/>
    <x v="0"/>
    <x v="7"/>
    <x v="2"/>
    <x v="11"/>
    <x v="1"/>
  </r>
  <r>
    <s v="TX502089"/>
    <x v="14"/>
    <x v="12"/>
    <n v="23"/>
    <n v="92"/>
    <x v="76"/>
    <d v="2025-03-22T00:00:00"/>
    <x v="1"/>
    <x v="3"/>
    <x v="2"/>
    <x v="0"/>
    <x v="7"/>
    <x v="5"/>
    <x v="11"/>
    <x v="1"/>
  </r>
  <r>
    <s v="TX502090"/>
    <x v="8"/>
    <x v="13"/>
    <n v="42.1"/>
    <n v="252.60000000000002"/>
    <x v="76"/>
    <d v="2025-03-20T00:00:00"/>
    <x v="1"/>
    <x v="4"/>
    <x v="0"/>
    <x v="0"/>
    <x v="8"/>
    <x v="1"/>
    <x v="11"/>
    <x v="1"/>
  </r>
  <r>
    <s v="TX502091"/>
    <x v="5"/>
    <x v="3"/>
    <n v="57.4"/>
    <n v="401.8"/>
    <x v="76"/>
    <d v="2025-03-22T00:00:00"/>
    <x v="2"/>
    <x v="1"/>
    <x v="4"/>
    <x v="0"/>
    <x v="8"/>
    <x v="5"/>
    <x v="11"/>
    <x v="2"/>
  </r>
  <r>
    <s v="TX502092"/>
    <x v="0"/>
    <x v="13"/>
    <n v="13.2"/>
    <n v="79.199999999999989"/>
    <x v="76"/>
    <d v="2025-03-22T00:00:00"/>
    <x v="1"/>
    <x v="2"/>
    <x v="0"/>
    <x v="0"/>
    <x v="8"/>
    <x v="5"/>
    <x v="11"/>
    <x v="1"/>
  </r>
  <r>
    <s v="TX502093"/>
    <x v="6"/>
    <x v="2"/>
    <n v="52.3"/>
    <n v="156.89999999999998"/>
    <x v="76"/>
    <d v="2025-03-19T00:00:00"/>
    <x v="1"/>
    <x v="1"/>
    <x v="0"/>
    <x v="0"/>
    <x v="8"/>
    <x v="3"/>
    <x v="11"/>
    <x v="1"/>
  </r>
  <r>
    <s v="TX502094"/>
    <x v="8"/>
    <x v="1"/>
    <n v="15.7"/>
    <n v="31.4"/>
    <x v="76"/>
    <d v="2025-03-21T00:00:00"/>
    <x v="1"/>
    <x v="1"/>
    <x v="2"/>
    <x v="0"/>
    <x v="8"/>
    <x v="2"/>
    <x v="11"/>
    <x v="1"/>
  </r>
  <r>
    <s v="TX502095"/>
    <x v="7"/>
    <x v="2"/>
    <n v="35"/>
    <n v="105"/>
    <x v="76"/>
    <d v="2025-03-21T00:00:00"/>
    <x v="2"/>
    <x v="1"/>
    <x v="2"/>
    <x v="0"/>
    <x v="9"/>
    <x v="2"/>
    <x v="11"/>
    <x v="2"/>
  </r>
  <r>
    <s v="TX502096"/>
    <x v="4"/>
    <x v="2"/>
    <n v="26.6"/>
    <n v="79.800000000000011"/>
    <x v="76"/>
    <d v="2025-03-18T00:00:00"/>
    <x v="1"/>
    <x v="1"/>
    <x v="2"/>
    <x v="0"/>
    <x v="11"/>
    <x v="7"/>
    <x v="11"/>
    <x v="1"/>
  </r>
  <r>
    <s v="TX502097"/>
    <x v="4"/>
    <x v="8"/>
    <n v="47.9"/>
    <n v="383.2"/>
    <x v="77"/>
    <d v="2025-03-20T00:00:00"/>
    <x v="2"/>
    <x v="3"/>
    <x v="2"/>
    <x v="0"/>
    <x v="20"/>
    <x v="3"/>
    <x v="11"/>
    <x v="2"/>
  </r>
  <r>
    <s v="TX502098"/>
    <x v="5"/>
    <x v="0"/>
    <n v="80.099999999999994"/>
    <n v="80.099999999999994"/>
    <x v="77"/>
    <d v="2025-03-20T00:00:00"/>
    <x v="1"/>
    <x v="2"/>
    <x v="0"/>
    <x v="0"/>
    <x v="21"/>
    <x v="3"/>
    <x v="11"/>
    <x v="1"/>
  </r>
  <r>
    <s v="TX502099"/>
    <x v="6"/>
    <x v="9"/>
    <n v="50.4"/>
    <n v="252"/>
    <x v="77"/>
    <d v="2025-03-20T00:00:00"/>
    <x v="1"/>
    <x v="1"/>
    <x v="2"/>
    <x v="0"/>
    <x v="21"/>
    <x v="3"/>
    <x v="11"/>
    <x v="1"/>
  </r>
  <r>
    <s v="TX502100"/>
    <x v="10"/>
    <x v="3"/>
    <n v="43.3"/>
    <n v="303.09999999999997"/>
    <x v="77"/>
    <d v="2025-03-20T00:00:00"/>
    <x v="1"/>
    <x v="2"/>
    <x v="0"/>
    <x v="0"/>
    <x v="21"/>
    <x v="3"/>
    <x v="11"/>
    <x v="1"/>
  </r>
  <r>
    <s v="TX502101"/>
    <x v="10"/>
    <x v="12"/>
    <n v="57.5"/>
    <n v="230"/>
    <x v="77"/>
    <d v="2025-03-20T00:00:00"/>
    <x v="2"/>
    <x v="1"/>
    <x v="2"/>
    <x v="0"/>
    <x v="1"/>
    <x v="3"/>
    <x v="11"/>
    <x v="2"/>
  </r>
  <r>
    <s v="TX502102"/>
    <x v="9"/>
    <x v="15"/>
    <n v="24.8"/>
    <n v="322.40000000000003"/>
    <x v="77"/>
    <d v="2025-03-20T00:00:00"/>
    <x v="1"/>
    <x v="0"/>
    <x v="0"/>
    <x v="0"/>
    <x v="57"/>
    <x v="3"/>
    <x v="11"/>
    <x v="1"/>
  </r>
  <r>
    <s v="TX502103"/>
    <x v="2"/>
    <x v="11"/>
    <n v="85.7"/>
    <n v="771.30000000000007"/>
    <x v="77"/>
    <d v="2025-03-20T00:00:00"/>
    <x v="2"/>
    <x v="0"/>
    <x v="0"/>
    <x v="0"/>
    <x v="42"/>
    <x v="3"/>
    <x v="11"/>
    <x v="2"/>
  </r>
  <r>
    <s v="TX502104"/>
    <x v="7"/>
    <x v="0"/>
    <n v="47.1"/>
    <n v="47.1"/>
    <x v="77"/>
    <d v="2025-03-21T00:00:00"/>
    <x v="2"/>
    <x v="0"/>
    <x v="0"/>
    <x v="0"/>
    <x v="2"/>
    <x v="1"/>
    <x v="11"/>
    <x v="2"/>
  </r>
  <r>
    <s v="TX502105"/>
    <x v="5"/>
    <x v="7"/>
    <n v="83.2"/>
    <n v="832"/>
    <x v="77"/>
    <d v="2025-03-23T00:00:00"/>
    <x v="2"/>
    <x v="0"/>
    <x v="0"/>
    <x v="0"/>
    <x v="33"/>
    <x v="5"/>
    <x v="11"/>
    <x v="2"/>
  </r>
  <r>
    <s v="TX502106"/>
    <x v="2"/>
    <x v="2"/>
    <n v="157"/>
    <n v="471"/>
    <x v="77"/>
    <d v="2025-03-21T00:00:00"/>
    <x v="2"/>
    <x v="0"/>
    <x v="2"/>
    <x v="0"/>
    <x v="22"/>
    <x v="1"/>
    <x v="11"/>
    <x v="2"/>
  </r>
  <r>
    <s v="TX502107"/>
    <x v="16"/>
    <x v="12"/>
    <n v="33.700000000000003"/>
    <n v="134.80000000000001"/>
    <x v="77"/>
    <d v="2025-03-20T00:00:00"/>
    <x v="1"/>
    <x v="2"/>
    <x v="2"/>
    <x v="0"/>
    <x v="22"/>
    <x v="3"/>
    <x v="11"/>
    <x v="1"/>
  </r>
  <r>
    <s v="TX502108"/>
    <x v="2"/>
    <x v="2"/>
    <n v="60.8"/>
    <n v="182.39999999999998"/>
    <x v="77"/>
    <d v="2025-03-23T00:00:00"/>
    <x v="2"/>
    <x v="1"/>
    <x v="1"/>
    <x v="0"/>
    <x v="3"/>
    <x v="5"/>
    <x v="11"/>
    <x v="2"/>
  </r>
  <r>
    <s v="TX502109"/>
    <x v="7"/>
    <x v="0"/>
    <n v="57.6"/>
    <n v="57.6"/>
    <x v="77"/>
    <d v="2025-03-20T00:00:00"/>
    <x v="1"/>
    <x v="1"/>
    <x v="4"/>
    <x v="0"/>
    <x v="3"/>
    <x v="3"/>
    <x v="11"/>
    <x v="1"/>
  </r>
  <r>
    <s v="TX502110"/>
    <x v="10"/>
    <x v="0"/>
    <n v="32"/>
    <n v="32"/>
    <x v="77"/>
    <d v="2025-03-21T00:00:00"/>
    <x v="1"/>
    <x v="0"/>
    <x v="0"/>
    <x v="0"/>
    <x v="3"/>
    <x v="1"/>
    <x v="11"/>
    <x v="1"/>
  </r>
  <r>
    <s v="TX502111"/>
    <x v="10"/>
    <x v="12"/>
    <n v="23.5"/>
    <n v="94"/>
    <x v="77"/>
    <d v="2025-03-20T00:00:00"/>
    <x v="2"/>
    <x v="0"/>
    <x v="2"/>
    <x v="0"/>
    <x v="3"/>
    <x v="3"/>
    <x v="11"/>
    <x v="2"/>
  </r>
  <r>
    <s v="TX502112"/>
    <x v="12"/>
    <x v="2"/>
    <n v="44.8"/>
    <n v="134.39999999999998"/>
    <x v="77"/>
    <d v="2025-03-20T00:00:00"/>
    <x v="3"/>
    <x v="4"/>
    <x v="0"/>
    <x v="0"/>
    <x v="3"/>
    <x v="3"/>
    <x v="11"/>
    <x v="3"/>
  </r>
  <r>
    <s v="TX502113"/>
    <x v="0"/>
    <x v="8"/>
    <n v="11.7"/>
    <n v="93.6"/>
    <x v="77"/>
    <d v="2025-03-20T00:00:00"/>
    <x v="1"/>
    <x v="2"/>
    <x v="2"/>
    <x v="0"/>
    <x v="3"/>
    <x v="3"/>
    <x v="11"/>
    <x v="1"/>
  </r>
  <r>
    <s v="TX502114"/>
    <x v="7"/>
    <x v="1"/>
    <n v="38.799999999999997"/>
    <n v="77.599999999999994"/>
    <x v="77"/>
    <d v="2025-03-22T00:00:00"/>
    <x v="2"/>
    <x v="2"/>
    <x v="0"/>
    <x v="0"/>
    <x v="3"/>
    <x v="2"/>
    <x v="11"/>
    <x v="2"/>
  </r>
  <r>
    <s v="TX502115"/>
    <x v="5"/>
    <x v="21"/>
    <n v="86.9"/>
    <n v="1216.6000000000001"/>
    <x v="77"/>
    <d v="2025-03-24T00:00:00"/>
    <x v="2"/>
    <x v="1"/>
    <x v="0"/>
    <x v="0"/>
    <x v="3"/>
    <x v="0"/>
    <x v="11"/>
    <x v="2"/>
  </r>
  <r>
    <s v="TX502116"/>
    <x v="8"/>
    <x v="0"/>
    <n v="18.3"/>
    <n v="18.3"/>
    <x v="77"/>
    <d v="2025-03-20T00:00:00"/>
    <x v="2"/>
    <x v="0"/>
    <x v="0"/>
    <x v="0"/>
    <x v="3"/>
    <x v="3"/>
    <x v="11"/>
    <x v="2"/>
  </r>
  <r>
    <s v="TX502117"/>
    <x v="5"/>
    <x v="0"/>
    <n v="47.5"/>
    <n v="47.5"/>
    <x v="77"/>
    <d v="2025-03-23T00:00:00"/>
    <x v="1"/>
    <x v="4"/>
    <x v="2"/>
    <x v="0"/>
    <x v="3"/>
    <x v="5"/>
    <x v="11"/>
    <x v="1"/>
  </r>
  <r>
    <s v="TX502118"/>
    <x v="1"/>
    <x v="1"/>
    <n v="78.599999999999994"/>
    <n v="157.19999999999999"/>
    <x v="77"/>
    <d v="2025-03-20T00:00:00"/>
    <x v="1"/>
    <x v="2"/>
    <x v="2"/>
    <x v="0"/>
    <x v="3"/>
    <x v="3"/>
    <x v="11"/>
    <x v="1"/>
  </r>
  <r>
    <s v="TX502119"/>
    <x v="6"/>
    <x v="12"/>
    <n v="87.3"/>
    <n v="349.2"/>
    <x v="77"/>
    <d v="2025-03-20T00:00:00"/>
    <x v="1"/>
    <x v="0"/>
    <x v="0"/>
    <x v="0"/>
    <x v="3"/>
    <x v="3"/>
    <x v="11"/>
    <x v="1"/>
  </r>
  <r>
    <s v="TX502120"/>
    <x v="9"/>
    <x v="1"/>
    <n v="63.2"/>
    <n v="126.4"/>
    <x v="77"/>
    <d v="2025-03-19T00:00:00"/>
    <x v="1"/>
    <x v="4"/>
    <x v="1"/>
    <x v="0"/>
    <x v="3"/>
    <x v="7"/>
    <x v="11"/>
    <x v="1"/>
  </r>
  <r>
    <s v="TX502121"/>
    <x v="5"/>
    <x v="9"/>
    <n v="33.700000000000003"/>
    <n v="168.5"/>
    <x v="77"/>
    <d v="2025-03-20T00:00:00"/>
    <x v="2"/>
    <x v="0"/>
    <x v="0"/>
    <x v="0"/>
    <x v="3"/>
    <x v="3"/>
    <x v="11"/>
    <x v="2"/>
  </r>
  <r>
    <s v="TX502122"/>
    <x v="2"/>
    <x v="2"/>
    <n v="107.4"/>
    <n v="322.20000000000005"/>
    <x v="77"/>
    <d v="2025-04-01T00:00:00"/>
    <x v="2"/>
    <x v="1"/>
    <x v="2"/>
    <x v="0"/>
    <x v="3"/>
    <x v="10"/>
    <x v="11"/>
    <x v="2"/>
  </r>
  <r>
    <s v="TX502123"/>
    <x v="4"/>
    <x v="12"/>
    <n v="22.2"/>
    <n v="88.8"/>
    <x v="77"/>
    <d v="2025-03-20T00:00:00"/>
    <x v="0"/>
    <x v="1"/>
    <x v="2"/>
    <x v="0"/>
    <x v="24"/>
    <x v="3"/>
    <x v="11"/>
    <x v="0"/>
  </r>
  <r>
    <s v="TX502124"/>
    <x v="18"/>
    <x v="2"/>
    <n v="52.8"/>
    <n v="158.39999999999998"/>
    <x v="77"/>
    <d v="2025-03-20T00:00:00"/>
    <x v="1"/>
    <x v="3"/>
    <x v="2"/>
    <x v="0"/>
    <x v="24"/>
    <x v="3"/>
    <x v="11"/>
    <x v="1"/>
  </r>
  <r>
    <s v="TX502125"/>
    <x v="8"/>
    <x v="2"/>
    <n v="41.5"/>
    <n v="124.5"/>
    <x v="77"/>
    <d v="2025-03-22T00:00:00"/>
    <x v="2"/>
    <x v="0"/>
    <x v="0"/>
    <x v="0"/>
    <x v="25"/>
    <x v="2"/>
    <x v="11"/>
    <x v="2"/>
  </r>
  <r>
    <s v="TX502126"/>
    <x v="12"/>
    <x v="8"/>
    <n v="103.5"/>
    <n v="828"/>
    <x v="77"/>
    <d v="2025-03-22T00:00:00"/>
    <x v="2"/>
    <x v="0"/>
    <x v="2"/>
    <x v="0"/>
    <x v="23"/>
    <x v="2"/>
    <x v="11"/>
    <x v="2"/>
  </r>
  <r>
    <s v="TX502127"/>
    <x v="4"/>
    <x v="21"/>
    <n v="37.5"/>
    <n v="525"/>
    <x v="77"/>
    <d v="2025-03-19T00:00:00"/>
    <x v="2"/>
    <x v="1"/>
    <x v="2"/>
    <x v="0"/>
    <x v="6"/>
    <x v="7"/>
    <x v="11"/>
    <x v="2"/>
  </r>
  <r>
    <s v="TX502128"/>
    <x v="15"/>
    <x v="8"/>
    <n v="44.4"/>
    <n v="355.2"/>
    <x v="77"/>
    <d v="2025-03-25T00:00:00"/>
    <x v="2"/>
    <x v="3"/>
    <x v="2"/>
    <x v="0"/>
    <x v="7"/>
    <x v="4"/>
    <x v="11"/>
    <x v="2"/>
  </r>
  <r>
    <s v="TX502129"/>
    <x v="8"/>
    <x v="2"/>
    <n v="26.2"/>
    <n v="78.599999999999994"/>
    <x v="77"/>
    <d v="2025-03-20T00:00:00"/>
    <x v="1"/>
    <x v="0"/>
    <x v="0"/>
    <x v="0"/>
    <x v="8"/>
    <x v="3"/>
    <x v="11"/>
    <x v="1"/>
  </r>
  <r>
    <s v="TX502130"/>
    <x v="1"/>
    <x v="3"/>
    <n v="32.200000000000003"/>
    <n v="225.40000000000003"/>
    <x v="77"/>
    <d v="2025-03-20T00:00:00"/>
    <x v="2"/>
    <x v="1"/>
    <x v="2"/>
    <x v="0"/>
    <x v="8"/>
    <x v="3"/>
    <x v="11"/>
    <x v="2"/>
  </r>
  <r>
    <s v="TX502131"/>
    <x v="8"/>
    <x v="0"/>
    <n v="17.399999999999999"/>
    <n v="17.399999999999999"/>
    <x v="77"/>
    <d v="2025-03-23T00:00:00"/>
    <x v="0"/>
    <x v="2"/>
    <x v="1"/>
    <x v="0"/>
    <x v="8"/>
    <x v="5"/>
    <x v="11"/>
    <x v="0"/>
  </r>
  <r>
    <s v="TX502132"/>
    <x v="8"/>
    <x v="13"/>
    <n v="72.3"/>
    <n v="433.79999999999995"/>
    <x v="77"/>
    <d v="2025-03-22T00:00:00"/>
    <x v="2"/>
    <x v="0"/>
    <x v="0"/>
    <x v="0"/>
    <x v="8"/>
    <x v="2"/>
    <x v="11"/>
    <x v="2"/>
  </r>
  <r>
    <s v="TX502133"/>
    <x v="8"/>
    <x v="5"/>
    <n v="24.3"/>
    <n v="267.3"/>
    <x v="77"/>
    <d v="2025-03-20T00:00:00"/>
    <x v="1"/>
    <x v="0"/>
    <x v="0"/>
    <x v="0"/>
    <x v="8"/>
    <x v="3"/>
    <x v="11"/>
    <x v="1"/>
  </r>
  <r>
    <s v="TX502134"/>
    <x v="13"/>
    <x v="2"/>
    <n v="49.1"/>
    <n v="147.30000000000001"/>
    <x v="77"/>
    <d v="2025-03-25T00:00:00"/>
    <x v="1"/>
    <x v="2"/>
    <x v="4"/>
    <x v="0"/>
    <x v="8"/>
    <x v="4"/>
    <x v="11"/>
    <x v="1"/>
  </r>
  <r>
    <s v="TX502135"/>
    <x v="2"/>
    <x v="7"/>
    <n v="234.7"/>
    <n v="2347"/>
    <x v="77"/>
    <d v="2025-03-20T00:00:00"/>
    <x v="1"/>
    <x v="3"/>
    <x v="1"/>
    <x v="0"/>
    <x v="8"/>
    <x v="3"/>
    <x v="11"/>
    <x v="1"/>
  </r>
  <r>
    <s v="TX502136"/>
    <x v="3"/>
    <x v="9"/>
    <n v="76.099999999999994"/>
    <n v="380.5"/>
    <x v="77"/>
    <d v="2025-03-21T00:00:00"/>
    <x v="1"/>
    <x v="1"/>
    <x v="1"/>
    <x v="0"/>
    <x v="17"/>
    <x v="1"/>
    <x v="11"/>
    <x v="1"/>
  </r>
  <r>
    <s v="TX502137"/>
    <x v="1"/>
    <x v="2"/>
    <n v="93.9"/>
    <n v="281.70000000000005"/>
    <x v="77"/>
    <d v="2025-03-20T00:00:00"/>
    <x v="1"/>
    <x v="1"/>
    <x v="4"/>
    <x v="0"/>
    <x v="11"/>
    <x v="3"/>
    <x v="11"/>
    <x v="1"/>
  </r>
  <r>
    <s v="TX502138"/>
    <x v="2"/>
    <x v="12"/>
    <n v="187"/>
    <n v="748"/>
    <x v="78"/>
    <d v="2025-03-23T00:00:00"/>
    <x v="1"/>
    <x v="0"/>
    <x v="0"/>
    <x v="0"/>
    <x v="11"/>
    <x v="2"/>
    <x v="11"/>
    <x v="1"/>
  </r>
  <r>
    <s v="TX502139"/>
    <x v="8"/>
    <x v="1"/>
    <n v="18"/>
    <n v="36"/>
    <x v="78"/>
    <d v="2025-03-21T00:00:00"/>
    <x v="2"/>
    <x v="1"/>
    <x v="2"/>
    <x v="0"/>
    <x v="53"/>
    <x v="3"/>
    <x v="11"/>
    <x v="2"/>
  </r>
  <r>
    <s v="TX502140"/>
    <x v="4"/>
    <x v="0"/>
    <n v="24.4"/>
    <n v="24.4"/>
    <x v="78"/>
    <d v="2025-03-21T00:00:00"/>
    <x v="2"/>
    <x v="4"/>
    <x v="2"/>
    <x v="0"/>
    <x v="21"/>
    <x v="3"/>
    <x v="11"/>
    <x v="2"/>
  </r>
  <r>
    <s v="TX502141"/>
    <x v="10"/>
    <x v="1"/>
    <n v="38.799999999999997"/>
    <n v="77.599999999999994"/>
    <x v="78"/>
    <d v="2025-03-21T00:00:00"/>
    <x v="1"/>
    <x v="4"/>
    <x v="1"/>
    <x v="0"/>
    <x v="3"/>
    <x v="3"/>
    <x v="11"/>
    <x v="1"/>
  </r>
  <r>
    <s v="TX502142"/>
    <x v="3"/>
    <x v="0"/>
    <n v="59.7"/>
    <n v="59.7"/>
    <x v="78"/>
    <d v="2025-03-23T00:00:00"/>
    <x v="1"/>
    <x v="3"/>
    <x v="0"/>
    <x v="0"/>
    <x v="3"/>
    <x v="2"/>
    <x v="11"/>
    <x v="1"/>
  </r>
  <r>
    <s v="TX502143"/>
    <x v="7"/>
    <x v="0"/>
    <n v="31.2"/>
    <n v="31.2"/>
    <x v="78"/>
    <d v="2025-03-21T00:00:00"/>
    <x v="1"/>
    <x v="1"/>
    <x v="2"/>
    <x v="0"/>
    <x v="3"/>
    <x v="3"/>
    <x v="11"/>
    <x v="1"/>
  </r>
  <r>
    <s v="TX502144"/>
    <x v="0"/>
    <x v="0"/>
    <n v="16.8"/>
    <n v="16.8"/>
    <x v="78"/>
    <d v="2025-03-21T00:00:00"/>
    <x v="2"/>
    <x v="2"/>
    <x v="1"/>
    <x v="0"/>
    <x v="3"/>
    <x v="3"/>
    <x v="11"/>
    <x v="2"/>
  </r>
  <r>
    <s v="TX502145"/>
    <x v="8"/>
    <x v="0"/>
    <n v="46"/>
    <n v="46"/>
    <x v="78"/>
    <d v="2025-03-21T00:00:00"/>
    <x v="1"/>
    <x v="0"/>
    <x v="0"/>
    <x v="0"/>
    <x v="3"/>
    <x v="3"/>
    <x v="11"/>
    <x v="1"/>
  </r>
  <r>
    <s v="TX502146"/>
    <x v="9"/>
    <x v="8"/>
    <n v="42.2"/>
    <n v="337.6"/>
    <x v="78"/>
    <d v="2025-03-23T00:00:00"/>
    <x v="2"/>
    <x v="3"/>
    <x v="2"/>
    <x v="0"/>
    <x v="3"/>
    <x v="2"/>
    <x v="11"/>
    <x v="2"/>
  </r>
  <r>
    <s v="TX502147"/>
    <x v="1"/>
    <x v="2"/>
    <n v="71.5"/>
    <n v="214.5"/>
    <x v="78"/>
    <d v="2025-04-03T00:00:00"/>
    <x v="2"/>
    <x v="0"/>
    <x v="0"/>
    <x v="0"/>
    <x v="3"/>
    <x v="12"/>
    <x v="11"/>
    <x v="2"/>
  </r>
  <r>
    <s v="TX502148"/>
    <x v="1"/>
    <x v="1"/>
    <n v="76.599999999999994"/>
    <n v="153.19999999999999"/>
    <x v="78"/>
    <d v="2025-03-20T00:00:00"/>
    <x v="1"/>
    <x v="0"/>
    <x v="2"/>
    <x v="0"/>
    <x v="3"/>
    <x v="7"/>
    <x v="11"/>
    <x v="1"/>
  </r>
  <r>
    <s v="TX502149"/>
    <x v="12"/>
    <x v="1"/>
    <n v="87.3"/>
    <n v="174.6"/>
    <x v="78"/>
    <d v="2025-03-28T00:00:00"/>
    <x v="2"/>
    <x v="3"/>
    <x v="2"/>
    <x v="0"/>
    <x v="3"/>
    <x v="9"/>
    <x v="11"/>
    <x v="2"/>
  </r>
  <r>
    <s v="TX502150"/>
    <x v="1"/>
    <x v="0"/>
    <n v="63"/>
    <n v="63"/>
    <x v="78"/>
    <d v="2025-03-23T00:00:00"/>
    <x v="1"/>
    <x v="3"/>
    <x v="0"/>
    <x v="0"/>
    <x v="3"/>
    <x v="2"/>
    <x v="11"/>
    <x v="1"/>
  </r>
  <r>
    <s v="TX502151"/>
    <x v="8"/>
    <x v="1"/>
    <n v="41.7"/>
    <n v="83.4"/>
    <x v="78"/>
    <d v="2025-03-21T00:00:00"/>
    <x v="2"/>
    <x v="4"/>
    <x v="1"/>
    <x v="0"/>
    <x v="43"/>
    <x v="3"/>
    <x v="11"/>
    <x v="2"/>
  </r>
  <r>
    <s v="TX502152"/>
    <x v="6"/>
    <x v="1"/>
    <n v="76.099999999999994"/>
    <n v="152.19999999999999"/>
    <x v="78"/>
    <d v="2025-03-20T00:00:00"/>
    <x v="2"/>
    <x v="4"/>
    <x v="2"/>
    <x v="0"/>
    <x v="16"/>
    <x v="7"/>
    <x v="11"/>
    <x v="2"/>
  </r>
  <r>
    <s v="TX502153"/>
    <x v="13"/>
    <x v="1"/>
    <n v="28.5"/>
    <n v="57"/>
    <x v="78"/>
    <d v="2025-03-21T00:00:00"/>
    <x v="2"/>
    <x v="0"/>
    <x v="2"/>
    <x v="0"/>
    <x v="4"/>
    <x v="3"/>
    <x v="11"/>
    <x v="2"/>
  </r>
  <r>
    <s v="TX502154"/>
    <x v="0"/>
    <x v="12"/>
    <n v="32.1"/>
    <n v="128.4"/>
    <x v="78"/>
    <d v="2025-03-21T00:00:00"/>
    <x v="2"/>
    <x v="1"/>
    <x v="2"/>
    <x v="0"/>
    <x v="25"/>
    <x v="3"/>
    <x v="11"/>
    <x v="2"/>
  </r>
  <r>
    <s v="TX502155"/>
    <x v="4"/>
    <x v="2"/>
    <n v="39"/>
    <n v="117"/>
    <x v="78"/>
    <d v="2025-03-23T00:00:00"/>
    <x v="1"/>
    <x v="1"/>
    <x v="2"/>
    <x v="0"/>
    <x v="25"/>
    <x v="2"/>
    <x v="11"/>
    <x v="1"/>
  </r>
  <r>
    <s v="TX502156"/>
    <x v="6"/>
    <x v="0"/>
    <n v="78.5"/>
    <n v="78.5"/>
    <x v="78"/>
    <d v="2025-03-21T00:00:00"/>
    <x v="1"/>
    <x v="1"/>
    <x v="0"/>
    <x v="0"/>
    <x v="6"/>
    <x v="3"/>
    <x v="11"/>
    <x v="1"/>
  </r>
  <r>
    <s v="TX502157"/>
    <x v="4"/>
    <x v="9"/>
    <n v="49.7"/>
    <n v="248.5"/>
    <x v="78"/>
    <d v="2025-03-22T00:00:00"/>
    <x v="2"/>
    <x v="0"/>
    <x v="0"/>
    <x v="0"/>
    <x v="6"/>
    <x v="1"/>
    <x v="11"/>
    <x v="2"/>
  </r>
  <r>
    <s v="TX502158"/>
    <x v="1"/>
    <x v="12"/>
    <n v="68.400000000000006"/>
    <n v="273.60000000000002"/>
    <x v="78"/>
    <d v="2025-03-21T00:00:00"/>
    <x v="2"/>
    <x v="2"/>
    <x v="2"/>
    <x v="0"/>
    <x v="7"/>
    <x v="3"/>
    <x v="11"/>
    <x v="2"/>
  </r>
  <r>
    <s v="TX502159"/>
    <x v="3"/>
    <x v="1"/>
    <n v="72.900000000000006"/>
    <n v="145.80000000000001"/>
    <x v="78"/>
    <d v="2025-03-23T00:00:00"/>
    <x v="0"/>
    <x v="0"/>
    <x v="2"/>
    <x v="0"/>
    <x v="7"/>
    <x v="2"/>
    <x v="11"/>
    <x v="0"/>
  </r>
  <r>
    <s v="TX502160"/>
    <x v="5"/>
    <x v="15"/>
    <n v="30.3"/>
    <n v="393.90000000000003"/>
    <x v="78"/>
    <d v="2025-03-21T00:00:00"/>
    <x v="1"/>
    <x v="4"/>
    <x v="0"/>
    <x v="0"/>
    <x v="7"/>
    <x v="3"/>
    <x v="11"/>
    <x v="1"/>
  </r>
  <r>
    <s v="TX502161"/>
    <x v="6"/>
    <x v="5"/>
    <n v="57.9"/>
    <n v="636.9"/>
    <x v="78"/>
    <d v="2025-03-21T00:00:00"/>
    <x v="2"/>
    <x v="0"/>
    <x v="0"/>
    <x v="0"/>
    <x v="8"/>
    <x v="3"/>
    <x v="11"/>
    <x v="2"/>
  </r>
  <r>
    <s v="TX502162"/>
    <x v="1"/>
    <x v="0"/>
    <n v="96.7"/>
    <n v="96.7"/>
    <x v="78"/>
    <d v="2025-03-21T00:00:00"/>
    <x v="1"/>
    <x v="0"/>
    <x v="0"/>
    <x v="0"/>
    <x v="8"/>
    <x v="3"/>
    <x v="11"/>
    <x v="1"/>
  </r>
  <r>
    <s v="TX502163"/>
    <x v="8"/>
    <x v="4"/>
    <n v="27.6"/>
    <n v="331.20000000000005"/>
    <x v="78"/>
    <d v="2025-03-22T00:00:00"/>
    <x v="1"/>
    <x v="2"/>
    <x v="2"/>
    <x v="0"/>
    <x v="8"/>
    <x v="1"/>
    <x v="11"/>
    <x v="1"/>
  </r>
  <r>
    <s v="TX502164"/>
    <x v="6"/>
    <x v="12"/>
    <n v="64.7"/>
    <n v="258.8"/>
    <x v="78"/>
    <d v="2025-03-20T00:00:00"/>
    <x v="1"/>
    <x v="3"/>
    <x v="2"/>
    <x v="0"/>
    <x v="8"/>
    <x v="7"/>
    <x v="11"/>
    <x v="1"/>
  </r>
  <r>
    <s v="TX502165"/>
    <x v="10"/>
    <x v="13"/>
    <n v="30.5"/>
    <n v="183"/>
    <x v="78"/>
    <d v="2025-03-21T00:00:00"/>
    <x v="1"/>
    <x v="4"/>
    <x v="0"/>
    <x v="0"/>
    <x v="8"/>
    <x v="3"/>
    <x v="11"/>
    <x v="1"/>
  </r>
  <r>
    <s v="TX502166"/>
    <x v="6"/>
    <x v="47"/>
    <n v="106"/>
    <n v="7420"/>
    <x v="79"/>
    <d v="2025-03-23T00:00:00"/>
    <x v="1"/>
    <x v="4"/>
    <x v="2"/>
    <x v="0"/>
    <x v="8"/>
    <x v="1"/>
    <x v="11"/>
    <x v="1"/>
  </r>
  <r>
    <s v="TX502167"/>
    <x v="12"/>
    <x v="9"/>
    <n v="76.8"/>
    <n v="384"/>
    <x v="79"/>
    <d v="2025-03-27T00:00:00"/>
    <x v="0"/>
    <x v="1"/>
    <x v="1"/>
    <x v="0"/>
    <x v="18"/>
    <x v="4"/>
    <x v="11"/>
    <x v="0"/>
  </r>
  <r>
    <s v="TX502168"/>
    <x v="6"/>
    <x v="1"/>
    <n v="80.400000000000006"/>
    <n v="160.80000000000001"/>
    <x v="79"/>
    <d v="2025-03-22T00:00:00"/>
    <x v="2"/>
    <x v="2"/>
    <x v="0"/>
    <x v="0"/>
    <x v="13"/>
    <x v="3"/>
    <x v="11"/>
    <x v="2"/>
  </r>
  <r>
    <s v="TX502169"/>
    <x v="6"/>
    <x v="12"/>
    <n v="69.099999999999994"/>
    <n v="276.39999999999998"/>
    <x v="79"/>
    <d v="2025-03-22T00:00:00"/>
    <x v="1"/>
    <x v="1"/>
    <x v="2"/>
    <x v="0"/>
    <x v="21"/>
    <x v="3"/>
    <x v="11"/>
    <x v="1"/>
  </r>
  <r>
    <s v="TX502170"/>
    <x v="18"/>
    <x v="1"/>
    <n v="76.400000000000006"/>
    <n v="152.80000000000001"/>
    <x v="79"/>
    <d v="2025-03-21T00:00:00"/>
    <x v="1"/>
    <x v="3"/>
    <x v="0"/>
    <x v="0"/>
    <x v="21"/>
    <x v="7"/>
    <x v="11"/>
    <x v="1"/>
  </r>
  <r>
    <s v="TX502171"/>
    <x v="2"/>
    <x v="1"/>
    <n v="61.3"/>
    <n v="122.6"/>
    <x v="79"/>
    <d v="2025-03-22T00:00:00"/>
    <x v="2"/>
    <x v="1"/>
    <x v="1"/>
    <x v="0"/>
    <x v="21"/>
    <x v="3"/>
    <x v="11"/>
    <x v="2"/>
  </r>
  <r>
    <s v="TX502172"/>
    <x v="7"/>
    <x v="0"/>
    <n v="58"/>
    <n v="58"/>
    <x v="79"/>
    <d v="2025-03-22T00:00:00"/>
    <x v="1"/>
    <x v="3"/>
    <x v="1"/>
    <x v="0"/>
    <x v="1"/>
    <x v="3"/>
    <x v="11"/>
    <x v="1"/>
  </r>
  <r>
    <s v="TX502173"/>
    <x v="2"/>
    <x v="8"/>
    <n v="102.3"/>
    <n v="818.4"/>
    <x v="79"/>
    <d v="2025-03-23T00:00:00"/>
    <x v="1"/>
    <x v="2"/>
    <x v="0"/>
    <x v="0"/>
    <x v="42"/>
    <x v="1"/>
    <x v="11"/>
    <x v="1"/>
  </r>
  <r>
    <s v="TX502174"/>
    <x v="19"/>
    <x v="1"/>
    <n v="13.8"/>
    <n v="27.6"/>
    <x v="79"/>
    <d v="2025-03-22T00:00:00"/>
    <x v="2"/>
    <x v="4"/>
    <x v="2"/>
    <x v="0"/>
    <x v="2"/>
    <x v="3"/>
    <x v="11"/>
    <x v="2"/>
  </r>
  <r>
    <s v="TX502175"/>
    <x v="8"/>
    <x v="2"/>
    <n v="33.299999999999997"/>
    <n v="99.899999999999991"/>
    <x v="79"/>
    <d v="2025-03-24T00:00:00"/>
    <x v="2"/>
    <x v="2"/>
    <x v="0"/>
    <x v="0"/>
    <x v="22"/>
    <x v="2"/>
    <x v="11"/>
    <x v="2"/>
  </r>
  <r>
    <s v="TX502176"/>
    <x v="10"/>
    <x v="0"/>
    <n v="27.4"/>
    <n v="27.4"/>
    <x v="79"/>
    <d v="2025-03-24T00:00:00"/>
    <x v="1"/>
    <x v="0"/>
    <x v="2"/>
    <x v="0"/>
    <x v="22"/>
    <x v="2"/>
    <x v="11"/>
    <x v="1"/>
  </r>
  <r>
    <s v="TX502177"/>
    <x v="14"/>
    <x v="1"/>
    <n v="25.6"/>
    <n v="51.2"/>
    <x v="79"/>
    <d v="2025-03-22T00:00:00"/>
    <x v="2"/>
    <x v="1"/>
    <x v="1"/>
    <x v="0"/>
    <x v="3"/>
    <x v="3"/>
    <x v="11"/>
    <x v="2"/>
  </r>
  <r>
    <s v="TX502178"/>
    <x v="13"/>
    <x v="0"/>
    <n v="58.4"/>
    <n v="58.4"/>
    <x v="79"/>
    <d v="2025-03-22T00:00:00"/>
    <x v="2"/>
    <x v="2"/>
    <x v="2"/>
    <x v="0"/>
    <x v="3"/>
    <x v="3"/>
    <x v="11"/>
    <x v="2"/>
  </r>
  <r>
    <s v="TX502179"/>
    <x v="11"/>
    <x v="17"/>
    <n v="27"/>
    <n v="810"/>
    <x v="79"/>
    <d v="2025-03-22T00:00:00"/>
    <x v="2"/>
    <x v="4"/>
    <x v="0"/>
    <x v="0"/>
    <x v="3"/>
    <x v="3"/>
    <x v="11"/>
    <x v="2"/>
  </r>
  <r>
    <s v="TX502180"/>
    <x v="0"/>
    <x v="12"/>
    <n v="14.2"/>
    <n v="56.8"/>
    <x v="79"/>
    <d v="2025-03-22T00:00:00"/>
    <x v="1"/>
    <x v="0"/>
    <x v="2"/>
    <x v="0"/>
    <x v="3"/>
    <x v="3"/>
    <x v="11"/>
    <x v="1"/>
  </r>
  <r>
    <s v="TX502181"/>
    <x v="7"/>
    <x v="1"/>
    <n v="68"/>
    <n v="136"/>
    <x v="79"/>
    <d v="2025-03-31T00:00:00"/>
    <x v="1"/>
    <x v="2"/>
    <x v="1"/>
    <x v="0"/>
    <x v="3"/>
    <x v="14"/>
    <x v="11"/>
    <x v="1"/>
  </r>
  <r>
    <s v="TX502182"/>
    <x v="8"/>
    <x v="0"/>
    <n v="30.7"/>
    <n v="30.7"/>
    <x v="79"/>
    <d v="2025-03-22T00:00:00"/>
    <x v="1"/>
    <x v="0"/>
    <x v="0"/>
    <x v="0"/>
    <x v="3"/>
    <x v="3"/>
    <x v="11"/>
    <x v="1"/>
  </r>
  <r>
    <s v="TX502183"/>
    <x v="17"/>
    <x v="15"/>
    <n v="51.6"/>
    <n v="670.80000000000007"/>
    <x v="79"/>
    <d v="2025-03-24T00:00:00"/>
    <x v="3"/>
    <x v="1"/>
    <x v="2"/>
    <x v="0"/>
    <x v="3"/>
    <x v="2"/>
    <x v="11"/>
    <x v="3"/>
  </r>
  <r>
    <s v="TX502184"/>
    <x v="8"/>
    <x v="2"/>
    <n v="20.6"/>
    <n v="61.800000000000004"/>
    <x v="79"/>
    <d v="2025-03-25T00:00:00"/>
    <x v="2"/>
    <x v="4"/>
    <x v="2"/>
    <x v="0"/>
    <x v="3"/>
    <x v="5"/>
    <x v="11"/>
    <x v="2"/>
  </r>
  <r>
    <s v="TX502185"/>
    <x v="8"/>
    <x v="0"/>
    <n v="24.8"/>
    <n v="24.8"/>
    <x v="79"/>
    <d v="2025-03-22T00:00:00"/>
    <x v="1"/>
    <x v="4"/>
    <x v="0"/>
    <x v="0"/>
    <x v="3"/>
    <x v="3"/>
    <x v="11"/>
    <x v="1"/>
  </r>
  <r>
    <s v="TX502186"/>
    <x v="0"/>
    <x v="3"/>
    <n v="11.2"/>
    <n v="78.399999999999991"/>
    <x v="79"/>
    <d v="2025-03-24T00:00:00"/>
    <x v="1"/>
    <x v="1"/>
    <x v="0"/>
    <x v="0"/>
    <x v="3"/>
    <x v="2"/>
    <x v="11"/>
    <x v="1"/>
  </r>
  <r>
    <s v="TX502187"/>
    <x v="11"/>
    <x v="1"/>
    <n v="51.2"/>
    <n v="102.4"/>
    <x v="79"/>
    <d v="2025-03-22T00:00:00"/>
    <x v="2"/>
    <x v="1"/>
    <x v="2"/>
    <x v="0"/>
    <x v="3"/>
    <x v="3"/>
    <x v="11"/>
    <x v="2"/>
  </r>
  <r>
    <s v="TX502188"/>
    <x v="7"/>
    <x v="13"/>
    <n v="90.5"/>
    <n v="543"/>
    <x v="79"/>
    <d v="2025-03-22T00:00:00"/>
    <x v="2"/>
    <x v="1"/>
    <x v="4"/>
    <x v="0"/>
    <x v="3"/>
    <x v="3"/>
    <x v="11"/>
    <x v="2"/>
  </r>
  <r>
    <s v="TX502189"/>
    <x v="1"/>
    <x v="1"/>
    <n v="42.4"/>
    <n v="84.8"/>
    <x v="79"/>
    <d v="2025-03-22T00:00:00"/>
    <x v="1"/>
    <x v="1"/>
    <x v="2"/>
    <x v="0"/>
    <x v="4"/>
    <x v="3"/>
    <x v="11"/>
    <x v="1"/>
  </r>
  <r>
    <s v="TX502190"/>
    <x v="1"/>
    <x v="1"/>
    <n v="38.200000000000003"/>
    <n v="76.400000000000006"/>
    <x v="79"/>
    <d v="2025-03-22T00:00:00"/>
    <x v="1"/>
    <x v="0"/>
    <x v="0"/>
    <x v="0"/>
    <x v="5"/>
    <x v="3"/>
    <x v="11"/>
    <x v="1"/>
  </r>
  <r>
    <s v="TX502191"/>
    <x v="2"/>
    <x v="11"/>
    <n v="121.3"/>
    <n v="1091.7"/>
    <x v="79"/>
    <d v="2025-03-26T00:00:00"/>
    <x v="1"/>
    <x v="0"/>
    <x v="0"/>
    <x v="0"/>
    <x v="6"/>
    <x v="0"/>
    <x v="11"/>
    <x v="1"/>
  </r>
  <r>
    <s v="TX502192"/>
    <x v="6"/>
    <x v="1"/>
    <n v="46.9"/>
    <n v="93.8"/>
    <x v="79"/>
    <d v="2025-03-28T00:00:00"/>
    <x v="1"/>
    <x v="0"/>
    <x v="0"/>
    <x v="0"/>
    <x v="8"/>
    <x v="6"/>
    <x v="11"/>
    <x v="1"/>
  </r>
  <r>
    <s v="TX502193"/>
    <x v="10"/>
    <x v="0"/>
    <n v="55.3"/>
    <n v="55.3"/>
    <x v="79"/>
    <d v="2025-03-23T00:00:00"/>
    <x v="1"/>
    <x v="0"/>
    <x v="0"/>
    <x v="0"/>
    <x v="8"/>
    <x v="1"/>
    <x v="11"/>
    <x v="1"/>
  </r>
  <r>
    <s v="TX502194"/>
    <x v="2"/>
    <x v="2"/>
    <n v="70.599999999999994"/>
    <n v="211.79999999999998"/>
    <x v="80"/>
    <d v="2025-03-22T00:00:00"/>
    <x v="2"/>
    <x v="0"/>
    <x v="1"/>
    <x v="0"/>
    <x v="8"/>
    <x v="7"/>
    <x v="11"/>
    <x v="2"/>
  </r>
  <r>
    <s v="TX502195"/>
    <x v="14"/>
    <x v="12"/>
    <n v="26.1"/>
    <n v="104.4"/>
    <x v="80"/>
    <d v="2025-03-24T00:00:00"/>
    <x v="1"/>
    <x v="0"/>
    <x v="0"/>
    <x v="0"/>
    <x v="8"/>
    <x v="1"/>
    <x v="11"/>
    <x v="1"/>
  </r>
  <r>
    <s v="TX502196"/>
    <x v="9"/>
    <x v="5"/>
    <n v="34.5"/>
    <n v="379.5"/>
    <x v="80"/>
    <d v="2025-03-26T00:00:00"/>
    <x v="1"/>
    <x v="2"/>
    <x v="0"/>
    <x v="0"/>
    <x v="17"/>
    <x v="5"/>
    <x v="11"/>
    <x v="1"/>
  </r>
  <r>
    <s v="TX502197"/>
    <x v="1"/>
    <x v="1"/>
    <n v="64.2"/>
    <n v="128.4"/>
    <x v="80"/>
    <d v="2025-03-23T00:00:00"/>
    <x v="2"/>
    <x v="0"/>
    <x v="1"/>
    <x v="0"/>
    <x v="17"/>
    <x v="3"/>
    <x v="11"/>
    <x v="2"/>
  </r>
  <r>
    <s v="TX502198"/>
    <x v="2"/>
    <x v="12"/>
    <n v="145.69999999999999"/>
    <n v="582.79999999999995"/>
    <x v="80"/>
    <d v="2025-03-23T00:00:00"/>
    <x v="2"/>
    <x v="0"/>
    <x v="4"/>
    <x v="0"/>
    <x v="17"/>
    <x v="3"/>
    <x v="11"/>
    <x v="2"/>
  </r>
  <r>
    <s v="TX502199"/>
    <x v="12"/>
    <x v="1"/>
    <n v="78.5"/>
    <n v="157"/>
    <x v="80"/>
    <d v="2025-03-23T00:00:00"/>
    <x v="1"/>
    <x v="2"/>
    <x v="0"/>
    <x v="0"/>
    <x v="26"/>
    <x v="3"/>
    <x v="11"/>
    <x v="1"/>
  </r>
  <r>
    <s v="TX502200"/>
    <x v="1"/>
    <x v="0"/>
    <n v="34.200000000000003"/>
    <n v="34.200000000000003"/>
    <x v="80"/>
    <d v="2025-03-24T00:00:00"/>
    <x v="1"/>
    <x v="0"/>
    <x v="0"/>
    <x v="0"/>
    <x v="9"/>
    <x v="1"/>
    <x v="11"/>
    <x v="1"/>
  </r>
  <r>
    <s v="TX502201"/>
    <x v="19"/>
    <x v="0"/>
    <n v="26.2"/>
    <n v="26.2"/>
    <x v="80"/>
    <d v="2025-03-23T00:00:00"/>
    <x v="1"/>
    <x v="2"/>
    <x v="0"/>
    <x v="0"/>
    <x v="9"/>
    <x v="3"/>
    <x v="11"/>
    <x v="1"/>
  </r>
  <r>
    <s v="TX502202"/>
    <x v="6"/>
    <x v="12"/>
    <n v="53.2"/>
    <n v="212.8"/>
    <x v="80"/>
    <d v="2025-03-23T00:00:00"/>
    <x v="1"/>
    <x v="1"/>
    <x v="1"/>
    <x v="0"/>
    <x v="11"/>
    <x v="3"/>
    <x v="11"/>
    <x v="1"/>
  </r>
  <r>
    <s v="TX502203"/>
    <x v="1"/>
    <x v="0"/>
    <n v="35.4"/>
    <n v="35.4"/>
    <x v="80"/>
    <d v="2025-03-26T00:00:00"/>
    <x v="1"/>
    <x v="1"/>
    <x v="4"/>
    <x v="0"/>
    <x v="18"/>
    <x v="5"/>
    <x v="11"/>
    <x v="1"/>
  </r>
  <r>
    <s v="TX502204"/>
    <x v="14"/>
    <x v="1"/>
    <n v="21.3"/>
    <n v="42.6"/>
    <x v="80"/>
    <d v="2025-03-23T00:00:00"/>
    <x v="1"/>
    <x v="2"/>
    <x v="0"/>
    <x v="0"/>
    <x v="20"/>
    <x v="3"/>
    <x v="11"/>
    <x v="1"/>
  </r>
  <r>
    <s v="TX502205"/>
    <x v="8"/>
    <x v="12"/>
    <n v="32.9"/>
    <n v="131.6"/>
    <x v="80"/>
    <d v="2025-03-25T00:00:00"/>
    <x v="2"/>
    <x v="4"/>
    <x v="2"/>
    <x v="0"/>
    <x v="21"/>
    <x v="2"/>
    <x v="11"/>
    <x v="2"/>
  </r>
  <r>
    <s v="TX502206"/>
    <x v="5"/>
    <x v="20"/>
    <n v="85.5"/>
    <n v="1282.5"/>
    <x v="80"/>
    <d v="2025-03-24T00:00:00"/>
    <x v="2"/>
    <x v="3"/>
    <x v="1"/>
    <x v="0"/>
    <x v="21"/>
    <x v="1"/>
    <x v="11"/>
    <x v="2"/>
  </r>
  <r>
    <s v="TX502207"/>
    <x v="4"/>
    <x v="0"/>
    <n v="26.8"/>
    <n v="26.8"/>
    <x v="80"/>
    <d v="2025-03-23T00:00:00"/>
    <x v="2"/>
    <x v="0"/>
    <x v="1"/>
    <x v="0"/>
    <x v="2"/>
    <x v="3"/>
    <x v="11"/>
    <x v="2"/>
  </r>
  <r>
    <s v="TX502208"/>
    <x v="9"/>
    <x v="18"/>
    <n v="31.7"/>
    <n v="824.19999999999993"/>
    <x v="80"/>
    <d v="2025-03-22T00:00:00"/>
    <x v="2"/>
    <x v="3"/>
    <x v="0"/>
    <x v="0"/>
    <x v="2"/>
    <x v="7"/>
    <x v="11"/>
    <x v="2"/>
  </r>
  <r>
    <s v="TX502209"/>
    <x v="1"/>
    <x v="1"/>
    <n v="78.3"/>
    <n v="156.6"/>
    <x v="80"/>
    <d v="2025-03-24T00:00:00"/>
    <x v="2"/>
    <x v="1"/>
    <x v="1"/>
    <x v="0"/>
    <x v="3"/>
    <x v="1"/>
    <x v="11"/>
    <x v="2"/>
  </r>
  <r>
    <s v="TX502210"/>
    <x v="6"/>
    <x v="0"/>
    <n v="43.9"/>
    <n v="43.9"/>
    <x v="80"/>
    <d v="2025-03-23T00:00:00"/>
    <x v="1"/>
    <x v="0"/>
    <x v="0"/>
    <x v="0"/>
    <x v="3"/>
    <x v="3"/>
    <x v="11"/>
    <x v="1"/>
  </r>
  <r>
    <s v="TX502211"/>
    <x v="18"/>
    <x v="2"/>
    <n v="84"/>
    <n v="252"/>
    <x v="80"/>
    <d v="2025-03-24T00:00:00"/>
    <x v="0"/>
    <x v="3"/>
    <x v="2"/>
    <x v="0"/>
    <x v="3"/>
    <x v="1"/>
    <x v="11"/>
    <x v="0"/>
  </r>
  <r>
    <s v="TX502212"/>
    <x v="0"/>
    <x v="2"/>
    <n v="11.4"/>
    <n v="34.200000000000003"/>
    <x v="80"/>
    <d v="2025-03-23T00:00:00"/>
    <x v="1"/>
    <x v="4"/>
    <x v="0"/>
    <x v="0"/>
    <x v="3"/>
    <x v="3"/>
    <x v="11"/>
    <x v="1"/>
  </r>
  <r>
    <s v="TX502213"/>
    <x v="12"/>
    <x v="8"/>
    <n v="47.5"/>
    <n v="380"/>
    <x v="80"/>
    <d v="2025-03-30T00:00:00"/>
    <x v="2"/>
    <x v="0"/>
    <x v="0"/>
    <x v="0"/>
    <x v="3"/>
    <x v="9"/>
    <x v="11"/>
    <x v="2"/>
  </r>
  <r>
    <s v="TX502214"/>
    <x v="9"/>
    <x v="5"/>
    <n v="50.5"/>
    <n v="555.5"/>
    <x v="80"/>
    <d v="2025-03-24T00:00:00"/>
    <x v="1"/>
    <x v="2"/>
    <x v="0"/>
    <x v="0"/>
    <x v="3"/>
    <x v="1"/>
    <x v="11"/>
    <x v="1"/>
  </r>
  <r>
    <s v="TX502215"/>
    <x v="15"/>
    <x v="0"/>
    <n v="36.299999999999997"/>
    <n v="36.299999999999997"/>
    <x v="80"/>
    <d v="2025-03-25T00:00:00"/>
    <x v="3"/>
    <x v="0"/>
    <x v="1"/>
    <x v="0"/>
    <x v="8"/>
    <x v="2"/>
    <x v="11"/>
    <x v="3"/>
  </r>
  <r>
    <s v="TX502216"/>
    <x v="8"/>
    <x v="1"/>
    <n v="35.4"/>
    <n v="70.8"/>
    <x v="80"/>
    <d v="2025-03-23T00:00:00"/>
    <x v="2"/>
    <x v="0"/>
    <x v="0"/>
    <x v="0"/>
    <x v="17"/>
    <x v="3"/>
    <x v="11"/>
    <x v="2"/>
  </r>
  <r>
    <s v="TX502217"/>
    <x v="1"/>
    <x v="2"/>
    <n v="45.9"/>
    <n v="137.69999999999999"/>
    <x v="81"/>
    <d v="2025-03-24T00:00:00"/>
    <x v="1"/>
    <x v="3"/>
    <x v="0"/>
    <x v="0"/>
    <x v="9"/>
    <x v="3"/>
    <x v="12"/>
    <x v="1"/>
  </r>
  <r>
    <s v="TX502218"/>
    <x v="6"/>
    <x v="7"/>
    <n v="41.2"/>
    <n v="412"/>
    <x v="81"/>
    <d v="2025-03-27T00:00:00"/>
    <x v="1"/>
    <x v="0"/>
    <x v="0"/>
    <x v="0"/>
    <x v="11"/>
    <x v="5"/>
    <x v="12"/>
    <x v="1"/>
  </r>
  <r>
    <s v="TX502219"/>
    <x v="17"/>
    <x v="1"/>
    <n v="45.1"/>
    <n v="90.2"/>
    <x v="81"/>
    <d v="2025-03-24T00:00:00"/>
    <x v="1"/>
    <x v="1"/>
    <x v="1"/>
    <x v="0"/>
    <x v="21"/>
    <x v="3"/>
    <x v="12"/>
    <x v="1"/>
  </r>
  <r>
    <s v="TX502220"/>
    <x v="6"/>
    <x v="7"/>
    <n v="63.6"/>
    <n v="636"/>
    <x v="81"/>
    <d v="2025-03-23T00:00:00"/>
    <x v="1"/>
    <x v="2"/>
    <x v="0"/>
    <x v="0"/>
    <x v="1"/>
    <x v="7"/>
    <x v="12"/>
    <x v="1"/>
  </r>
  <r>
    <s v="TX502221"/>
    <x v="8"/>
    <x v="0"/>
    <n v="70.5"/>
    <n v="70.5"/>
    <x v="81"/>
    <d v="2025-03-24T00:00:00"/>
    <x v="1"/>
    <x v="0"/>
    <x v="0"/>
    <x v="0"/>
    <x v="3"/>
    <x v="3"/>
    <x v="12"/>
    <x v="1"/>
  </r>
  <r>
    <s v="TX502222"/>
    <x v="6"/>
    <x v="0"/>
    <n v="41.3"/>
    <n v="41.3"/>
    <x v="81"/>
    <d v="2025-03-23T00:00:00"/>
    <x v="1"/>
    <x v="4"/>
    <x v="0"/>
    <x v="0"/>
    <x v="3"/>
    <x v="7"/>
    <x v="12"/>
    <x v="1"/>
  </r>
  <r>
    <s v="TX502223"/>
    <x v="4"/>
    <x v="0"/>
    <n v="35.299999999999997"/>
    <n v="35.299999999999997"/>
    <x v="81"/>
    <d v="2025-03-26T00:00:00"/>
    <x v="2"/>
    <x v="4"/>
    <x v="2"/>
    <x v="0"/>
    <x v="3"/>
    <x v="2"/>
    <x v="12"/>
    <x v="2"/>
  </r>
  <r>
    <s v="TX502224"/>
    <x v="8"/>
    <x v="9"/>
    <n v="34.700000000000003"/>
    <n v="173.5"/>
    <x v="81"/>
    <d v="2025-03-24T00:00:00"/>
    <x v="2"/>
    <x v="0"/>
    <x v="2"/>
    <x v="0"/>
    <x v="3"/>
    <x v="3"/>
    <x v="12"/>
    <x v="2"/>
  </r>
  <r>
    <s v="TX502225"/>
    <x v="8"/>
    <x v="2"/>
    <n v="26.1"/>
    <n v="78.300000000000011"/>
    <x v="81"/>
    <d v="2025-03-24T00:00:00"/>
    <x v="2"/>
    <x v="0"/>
    <x v="0"/>
    <x v="0"/>
    <x v="3"/>
    <x v="3"/>
    <x v="12"/>
    <x v="2"/>
  </r>
  <r>
    <s v="TX502226"/>
    <x v="9"/>
    <x v="9"/>
    <n v="22.6"/>
    <n v="113"/>
    <x v="81"/>
    <d v="2025-03-23T00:00:00"/>
    <x v="2"/>
    <x v="1"/>
    <x v="2"/>
    <x v="0"/>
    <x v="3"/>
    <x v="7"/>
    <x v="12"/>
    <x v="2"/>
  </r>
  <r>
    <s v="TX502227"/>
    <x v="2"/>
    <x v="1"/>
    <n v="154.4"/>
    <n v="308.8"/>
    <x v="81"/>
    <d v="2025-03-26T00:00:00"/>
    <x v="1"/>
    <x v="1"/>
    <x v="1"/>
    <x v="0"/>
    <x v="3"/>
    <x v="2"/>
    <x v="12"/>
    <x v="1"/>
  </r>
  <r>
    <s v="TX502228"/>
    <x v="8"/>
    <x v="1"/>
    <n v="18.399999999999999"/>
    <n v="36.799999999999997"/>
    <x v="81"/>
    <d v="2025-03-24T00:00:00"/>
    <x v="1"/>
    <x v="0"/>
    <x v="0"/>
    <x v="0"/>
    <x v="3"/>
    <x v="3"/>
    <x v="12"/>
    <x v="1"/>
  </r>
  <r>
    <s v="TX502229"/>
    <x v="14"/>
    <x v="0"/>
    <n v="25"/>
    <n v="25"/>
    <x v="81"/>
    <d v="2025-03-26T00:00:00"/>
    <x v="2"/>
    <x v="0"/>
    <x v="0"/>
    <x v="0"/>
    <x v="3"/>
    <x v="2"/>
    <x v="12"/>
    <x v="2"/>
  </r>
  <r>
    <s v="TX502230"/>
    <x v="2"/>
    <x v="13"/>
    <n v="105.6"/>
    <n v="633.59999999999991"/>
    <x v="81"/>
    <d v="2025-03-23T00:00:00"/>
    <x v="2"/>
    <x v="0"/>
    <x v="0"/>
    <x v="0"/>
    <x v="3"/>
    <x v="7"/>
    <x v="12"/>
    <x v="2"/>
  </r>
  <r>
    <s v="TX502231"/>
    <x v="18"/>
    <x v="8"/>
    <n v="59.6"/>
    <n v="476.8"/>
    <x v="81"/>
    <d v="2025-03-23T00:00:00"/>
    <x v="2"/>
    <x v="0"/>
    <x v="2"/>
    <x v="0"/>
    <x v="23"/>
    <x v="7"/>
    <x v="12"/>
    <x v="2"/>
  </r>
  <r>
    <s v="TX502232"/>
    <x v="15"/>
    <x v="2"/>
    <n v="75.400000000000006"/>
    <n v="226.20000000000002"/>
    <x v="81"/>
    <d v="2025-03-28T00:00:00"/>
    <x v="1"/>
    <x v="0"/>
    <x v="1"/>
    <x v="0"/>
    <x v="7"/>
    <x v="0"/>
    <x v="12"/>
    <x v="1"/>
  </r>
  <r>
    <s v="TX502233"/>
    <x v="7"/>
    <x v="0"/>
    <n v="104.4"/>
    <n v="104.4"/>
    <x v="81"/>
    <d v="2025-03-24T00:00:00"/>
    <x v="2"/>
    <x v="0"/>
    <x v="0"/>
    <x v="0"/>
    <x v="8"/>
    <x v="3"/>
    <x v="12"/>
    <x v="2"/>
  </r>
  <r>
    <s v="TX502234"/>
    <x v="2"/>
    <x v="7"/>
    <n v="208.2"/>
    <n v="2082"/>
    <x v="81"/>
    <d v="2025-03-24T00:00:00"/>
    <x v="1"/>
    <x v="0"/>
    <x v="2"/>
    <x v="0"/>
    <x v="8"/>
    <x v="3"/>
    <x v="12"/>
    <x v="1"/>
  </r>
  <r>
    <s v="TX502235"/>
    <x v="6"/>
    <x v="1"/>
    <n v="45"/>
    <n v="90"/>
    <x v="81"/>
    <d v="2025-03-26T00:00:00"/>
    <x v="2"/>
    <x v="0"/>
    <x v="0"/>
    <x v="0"/>
    <x v="10"/>
    <x v="2"/>
    <x v="12"/>
    <x v="2"/>
  </r>
  <r>
    <s v="TX502236"/>
    <x v="15"/>
    <x v="1"/>
    <n v="20.3"/>
    <n v="40.6"/>
    <x v="82"/>
    <d v="2025-03-26T00:00:00"/>
    <x v="0"/>
    <x v="1"/>
    <x v="0"/>
    <x v="0"/>
    <x v="11"/>
    <x v="1"/>
    <x v="12"/>
    <x v="0"/>
  </r>
  <r>
    <s v="TX502237"/>
    <x v="2"/>
    <x v="2"/>
    <n v="94.4"/>
    <n v="283.20000000000005"/>
    <x v="82"/>
    <d v="2025-03-25T00:00:00"/>
    <x v="2"/>
    <x v="0"/>
    <x v="2"/>
    <x v="0"/>
    <x v="11"/>
    <x v="3"/>
    <x v="12"/>
    <x v="2"/>
  </r>
  <r>
    <s v="TX502238"/>
    <x v="9"/>
    <x v="0"/>
    <n v="49"/>
    <n v="49"/>
    <x v="82"/>
    <d v="2025-03-26T00:00:00"/>
    <x v="2"/>
    <x v="0"/>
    <x v="2"/>
    <x v="0"/>
    <x v="20"/>
    <x v="1"/>
    <x v="12"/>
    <x v="2"/>
  </r>
  <r>
    <s v="TX502239"/>
    <x v="4"/>
    <x v="1"/>
    <n v="27.2"/>
    <n v="54.4"/>
    <x v="82"/>
    <d v="2025-03-26T00:00:00"/>
    <x v="1"/>
    <x v="0"/>
    <x v="2"/>
    <x v="0"/>
    <x v="1"/>
    <x v="1"/>
    <x v="12"/>
    <x v="1"/>
  </r>
  <r>
    <s v="TX502240"/>
    <x v="2"/>
    <x v="13"/>
    <n v="72.599999999999994"/>
    <n v="435.59999999999997"/>
    <x v="82"/>
    <d v="2025-03-25T00:00:00"/>
    <x v="2"/>
    <x v="0"/>
    <x v="2"/>
    <x v="0"/>
    <x v="2"/>
    <x v="3"/>
    <x v="12"/>
    <x v="2"/>
  </r>
  <r>
    <s v="TX502241"/>
    <x v="15"/>
    <x v="12"/>
    <n v="62.4"/>
    <n v="249.6"/>
    <x v="82"/>
    <d v="2025-03-25T00:00:00"/>
    <x v="2"/>
    <x v="0"/>
    <x v="0"/>
    <x v="0"/>
    <x v="3"/>
    <x v="3"/>
    <x v="12"/>
    <x v="2"/>
  </r>
  <r>
    <s v="TX502242"/>
    <x v="8"/>
    <x v="2"/>
    <n v="19.100000000000001"/>
    <n v="57.300000000000004"/>
    <x v="82"/>
    <d v="2025-03-26T00:00:00"/>
    <x v="1"/>
    <x v="0"/>
    <x v="1"/>
    <x v="0"/>
    <x v="3"/>
    <x v="1"/>
    <x v="12"/>
    <x v="1"/>
  </r>
  <r>
    <s v="TX502243"/>
    <x v="10"/>
    <x v="0"/>
    <n v="29.6"/>
    <n v="29.6"/>
    <x v="82"/>
    <d v="2025-03-28T00:00:00"/>
    <x v="1"/>
    <x v="0"/>
    <x v="4"/>
    <x v="0"/>
    <x v="3"/>
    <x v="5"/>
    <x v="12"/>
    <x v="1"/>
  </r>
  <r>
    <s v="TX502244"/>
    <x v="8"/>
    <x v="1"/>
    <n v="18.899999999999999"/>
    <n v="37.799999999999997"/>
    <x v="82"/>
    <d v="2025-03-26T00:00:00"/>
    <x v="2"/>
    <x v="4"/>
    <x v="2"/>
    <x v="0"/>
    <x v="3"/>
    <x v="1"/>
    <x v="12"/>
    <x v="2"/>
  </r>
  <r>
    <s v="TX502245"/>
    <x v="10"/>
    <x v="9"/>
    <n v="41.4"/>
    <n v="207"/>
    <x v="82"/>
    <d v="2025-03-25T00:00:00"/>
    <x v="1"/>
    <x v="3"/>
    <x v="0"/>
    <x v="0"/>
    <x v="3"/>
    <x v="3"/>
    <x v="12"/>
    <x v="1"/>
  </r>
  <r>
    <s v="TX502246"/>
    <x v="2"/>
    <x v="0"/>
    <n v="118.4"/>
    <n v="118.4"/>
    <x v="82"/>
    <d v="2025-03-25T00:00:00"/>
    <x v="2"/>
    <x v="0"/>
    <x v="2"/>
    <x v="0"/>
    <x v="3"/>
    <x v="3"/>
    <x v="12"/>
    <x v="2"/>
  </r>
  <r>
    <s v="TX502247"/>
    <x v="2"/>
    <x v="1"/>
    <n v="125.3"/>
    <n v="250.6"/>
    <x v="82"/>
    <d v="2025-03-27T00:00:00"/>
    <x v="2"/>
    <x v="0"/>
    <x v="2"/>
    <x v="0"/>
    <x v="3"/>
    <x v="2"/>
    <x v="12"/>
    <x v="2"/>
  </r>
  <r>
    <s v="TX502248"/>
    <x v="3"/>
    <x v="1"/>
    <n v="85.8"/>
    <n v="171.6"/>
    <x v="82"/>
    <d v="2025-03-25T00:00:00"/>
    <x v="2"/>
    <x v="1"/>
    <x v="4"/>
    <x v="0"/>
    <x v="3"/>
    <x v="3"/>
    <x v="12"/>
    <x v="2"/>
  </r>
  <r>
    <s v="TX502249"/>
    <x v="6"/>
    <x v="0"/>
    <n v="44.2"/>
    <n v="44.2"/>
    <x v="82"/>
    <d v="2025-03-27T00:00:00"/>
    <x v="1"/>
    <x v="1"/>
    <x v="0"/>
    <x v="0"/>
    <x v="3"/>
    <x v="2"/>
    <x v="12"/>
    <x v="1"/>
  </r>
  <r>
    <s v="TX502250"/>
    <x v="5"/>
    <x v="12"/>
    <n v="74.099999999999994"/>
    <n v="296.39999999999998"/>
    <x v="82"/>
    <d v="2025-03-26T00:00:00"/>
    <x v="2"/>
    <x v="0"/>
    <x v="0"/>
    <x v="0"/>
    <x v="3"/>
    <x v="1"/>
    <x v="12"/>
    <x v="2"/>
  </r>
  <r>
    <s v="TX502251"/>
    <x v="8"/>
    <x v="0"/>
    <n v="33.799999999999997"/>
    <n v="33.799999999999997"/>
    <x v="82"/>
    <d v="2025-03-25T00:00:00"/>
    <x v="2"/>
    <x v="2"/>
    <x v="2"/>
    <x v="0"/>
    <x v="24"/>
    <x v="3"/>
    <x v="12"/>
    <x v="2"/>
  </r>
  <r>
    <s v="TX502252"/>
    <x v="1"/>
    <x v="1"/>
    <n v="39.1"/>
    <n v="78.2"/>
    <x v="82"/>
    <d v="2025-03-25T00:00:00"/>
    <x v="1"/>
    <x v="0"/>
    <x v="1"/>
    <x v="0"/>
    <x v="24"/>
    <x v="3"/>
    <x v="12"/>
    <x v="1"/>
  </r>
  <r>
    <s v="TX502253"/>
    <x v="0"/>
    <x v="0"/>
    <n v="37.200000000000003"/>
    <n v="37.200000000000003"/>
    <x v="82"/>
    <d v="2025-03-25T00:00:00"/>
    <x v="1"/>
    <x v="0"/>
    <x v="1"/>
    <x v="0"/>
    <x v="16"/>
    <x v="3"/>
    <x v="12"/>
    <x v="1"/>
  </r>
  <r>
    <s v="TX502254"/>
    <x v="15"/>
    <x v="2"/>
    <n v="33.9"/>
    <n v="101.69999999999999"/>
    <x v="82"/>
    <d v="2025-03-26T00:00:00"/>
    <x v="1"/>
    <x v="2"/>
    <x v="0"/>
    <x v="0"/>
    <x v="6"/>
    <x v="1"/>
    <x v="12"/>
    <x v="1"/>
  </r>
  <r>
    <s v="TX502255"/>
    <x v="7"/>
    <x v="20"/>
    <n v="73.3"/>
    <n v="1099.5"/>
    <x v="82"/>
    <d v="2025-03-27T00:00:00"/>
    <x v="2"/>
    <x v="2"/>
    <x v="1"/>
    <x v="0"/>
    <x v="8"/>
    <x v="2"/>
    <x v="12"/>
    <x v="2"/>
  </r>
  <r>
    <s v="TX502256"/>
    <x v="8"/>
    <x v="12"/>
    <n v="35"/>
    <n v="140"/>
    <x v="82"/>
    <d v="2025-03-26T00:00:00"/>
    <x v="2"/>
    <x v="1"/>
    <x v="0"/>
    <x v="0"/>
    <x v="8"/>
    <x v="1"/>
    <x v="12"/>
    <x v="2"/>
  </r>
  <r>
    <s v="TX502257"/>
    <x v="0"/>
    <x v="2"/>
    <n v="22.2"/>
    <n v="66.599999999999994"/>
    <x v="82"/>
    <d v="2025-03-25T00:00:00"/>
    <x v="1"/>
    <x v="1"/>
    <x v="0"/>
    <x v="0"/>
    <x v="17"/>
    <x v="3"/>
    <x v="12"/>
    <x v="1"/>
  </r>
  <r>
    <s v="TX502258"/>
    <x v="10"/>
    <x v="0"/>
    <n v="32.4"/>
    <n v="32.4"/>
    <x v="82"/>
    <d v="2025-03-25T00:00:00"/>
    <x v="2"/>
    <x v="0"/>
    <x v="0"/>
    <x v="0"/>
    <x v="11"/>
    <x v="3"/>
    <x v="12"/>
    <x v="2"/>
  </r>
  <r>
    <s v="TX502259"/>
    <x v="5"/>
    <x v="2"/>
    <n v="88.4"/>
    <n v="265.20000000000005"/>
    <x v="83"/>
    <d v="2025-03-27T00:00:00"/>
    <x v="2"/>
    <x v="1"/>
    <x v="1"/>
    <x v="0"/>
    <x v="11"/>
    <x v="1"/>
    <x v="12"/>
    <x v="2"/>
  </r>
  <r>
    <s v="TX502260"/>
    <x v="5"/>
    <x v="27"/>
    <n v="30.5"/>
    <n v="488"/>
    <x v="83"/>
    <d v="2025-03-26T00:00:00"/>
    <x v="2"/>
    <x v="2"/>
    <x v="0"/>
    <x v="0"/>
    <x v="11"/>
    <x v="3"/>
    <x v="12"/>
    <x v="2"/>
  </r>
  <r>
    <s v="TX502261"/>
    <x v="1"/>
    <x v="13"/>
    <n v="38.1"/>
    <n v="228.60000000000002"/>
    <x v="83"/>
    <d v="2025-03-27T00:00:00"/>
    <x v="2"/>
    <x v="0"/>
    <x v="1"/>
    <x v="0"/>
    <x v="11"/>
    <x v="1"/>
    <x v="12"/>
    <x v="2"/>
  </r>
  <r>
    <s v="TX502262"/>
    <x v="10"/>
    <x v="9"/>
    <n v="37.6"/>
    <n v="188"/>
    <x v="83"/>
    <d v="2025-03-29T00:00:00"/>
    <x v="1"/>
    <x v="0"/>
    <x v="0"/>
    <x v="0"/>
    <x v="11"/>
    <x v="5"/>
    <x v="12"/>
    <x v="1"/>
  </r>
  <r>
    <s v="TX502263"/>
    <x v="15"/>
    <x v="1"/>
    <n v="31.4"/>
    <n v="62.8"/>
    <x v="83"/>
    <d v="2025-03-26T00:00:00"/>
    <x v="1"/>
    <x v="0"/>
    <x v="2"/>
    <x v="0"/>
    <x v="11"/>
    <x v="3"/>
    <x v="12"/>
    <x v="1"/>
  </r>
  <r>
    <s v="TX502264"/>
    <x v="6"/>
    <x v="1"/>
    <n v="61.5"/>
    <n v="123"/>
    <x v="83"/>
    <d v="2025-03-26T00:00:00"/>
    <x v="1"/>
    <x v="3"/>
    <x v="0"/>
    <x v="0"/>
    <x v="31"/>
    <x v="3"/>
    <x v="12"/>
    <x v="1"/>
  </r>
  <r>
    <s v="TX502265"/>
    <x v="6"/>
    <x v="0"/>
    <n v="72.599999999999994"/>
    <n v="72.599999999999994"/>
    <x v="83"/>
    <d v="2025-03-26T00:00:00"/>
    <x v="1"/>
    <x v="0"/>
    <x v="1"/>
    <x v="0"/>
    <x v="21"/>
    <x v="3"/>
    <x v="12"/>
    <x v="1"/>
  </r>
  <r>
    <s v="TX502266"/>
    <x v="9"/>
    <x v="2"/>
    <n v="26.9"/>
    <n v="80.699999999999989"/>
    <x v="83"/>
    <d v="2025-03-30T00:00:00"/>
    <x v="3"/>
    <x v="4"/>
    <x v="1"/>
    <x v="0"/>
    <x v="46"/>
    <x v="0"/>
    <x v="12"/>
    <x v="3"/>
  </r>
  <r>
    <s v="TX502267"/>
    <x v="17"/>
    <x v="4"/>
    <n v="29.4"/>
    <n v="352.79999999999995"/>
    <x v="83"/>
    <d v="2025-03-26T00:00:00"/>
    <x v="2"/>
    <x v="1"/>
    <x v="0"/>
    <x v="0"/>
    <x v="51"/>
    <x v="3"/>
    <x v="12"/>
    <x v="2"/>
  </r>
  <r>
    <s v="TX502268"/>
    <x v="17"/>
    <x v="1"/>
    <n v="42.1"/>
    <n v="84.2"/>
    <x v="83"/>
    <d v="2025-03-26T00:00:00"/>
    <x v="2"/>
    <x v="3"/>
    <x v="1"/>
    <x v="0"/>
    <x v="1"/>
    <x v="3"/>
    <x v="12"/>
    <x v="2"/>
  </r>
  <r>
    <s v="TX502269"/>
    <x v="5"/>
    <x v="0"/>
    <n v="40.5"/>
    <n v="40.5"/>
    <x v="83"/>
    <d v="2025-03-26T00:00:00"/>
    <x v="2"/>
    <x v="2"/>
    <x v="1"/>
    <x v="0"/>
    <x v="1"/>
    <x v="3"/>
    <x v="12"/>
    <x v="2"/>
  </r>
  <r>
    <s v="TX502270"/>
    <x v="2"/>
    <x v="12"/>
    <n v="182.3"/>
    <n v="729.2"/>
    <x v="83"/>
    <d v="2025-03-26T00:00:00"/>
    <x v="2"/>
    <x v="1"/>
    <x v="0"/>
    <x v="0"/>
    <x v="1"/>
    <x v="3"/>
    <x v="12"/>
    <x v="2"/>
  </r>
  <r>
    <s v="TX502271"/>
    <x v="2"/>
    <x v="9"/>
    <n v="157"/>
    <n v="785"/>
    <x v="83"/>
    <d v="2025-03-28T00:00:00"/>
    <x v="2"/>
    <x v="1"/>
    <x v="2"/>
    <x v="0"/>
    <x v="2"/>
    <x v="2"/>
    <x v="12"/>
    <x v="2"/>
  </r>
  <r>
    <s v="TX502272"/>
    <x v="17"/>
    <x v="9"/>
    <n v="45.2"/>
    <n v="226"/>
    <x v="83"/>
    <d v="2025-03-28T00:00:00"/>
    <x v="2"/>
    <x v="1"/>
    <x v="0"/>
    <x v="0"/>
    <x v="22"/>
    <x v="2"/>
    <x v="12"/>
    <x v="2"/>
  </r>
  <r>
    <s v="TX502273"/>
    <x v="15"/>
    <x v="12"/>
    <n v="27.4"/>
    <n v="109.6"/>
    <x v="83"/>
    <d v="2025-03-27T00:00:00"/>
    <x v="2"/>
    <x v="0"/>
    <x v="0"/>
    <x v="0"/>
    <x v="3"/>
    <x v="1"/>
    <x v="12"/>
    <x v="2"/>
  </r>
  <r>
    <s v="TX502274"/>
    <x v="5"/>
    <x v="9"/>
    <n v="34.1"/>
    <n v="170.5"/>
    <x v="83"/>
    <d v="2025-03-27T00:00:00"/>
    <x v="1"/>
    <x v="0"/>
    <x v="2"/>
    <x v="0"/>
    <x v="3"/>
    <x v="1"/>
    <x v="12"/>
    <x v="1"/>
  </r>
  <r>
    <s v="TX502275"/>
    <x v="0"/>
    <x v="1"/>
    <n v="26"/>
    <n v="52"/>
    <x v="83"/>
    <d v="2025-03-27T00:00:00"/>
    <x v="1"/>
    <x v="2"/>
    <x v="1"/>
    <x v="0"/>
    <x v="3"/>
    <x v="1"/>
    <x v="12"/>
    <x v="1"/>
  </r>
  <r>
    <s v="TX502276"/>
    <x v="8"/>
    <x v="3"/>
    <n v="19.399999999999999"/>
    <n v="135.79999999999998"/>
    <x v="83"/>
    <d v="2025-03-27T00:00:00"/>
    <x v="0"/>
    <x v="1"/>
    <x v="1"/>
    <x v="0"/>
    <x v="3"/>
    <x v="1"/>
    <x v="12"/>
    <x v="0"/>
  </r>
  <r>
    <s v="TX502277"/>
    <x v="16"/>
    <x v="2"/>
    <n v="30.3"/>
    <n v="90.9"/>
    <x v="83"/>
    <d v="2025-03-28T00:00:00"/>
    <x v="2"/>
    <x v="1"/>
    <x v="2"/>
    <x v="0"/>
    <x v="3"/>
    <x v="2"/>
    <x v="12"/>
    <x v="2"/>
  </r>
  <r>
    <s v="TX502278"/>
    <x v="2"/>
    <x v="2"/>
    <n v="101.4"/>
    <n v="304.20000000000005"/>
    <x v="83"/>
    <d v="2025-03-26T00:00:00"/>
    <x v="1"/>
    <x v="0"/>
    <x v="0"/>
    <x v="0"/>
    <x v="3"/>
    <x v="3"/>
    <x v="12"/>
    <x v="1"/>
  </r>
  <r>
    <s v="TX502279"/>
    <x v="3"/>
    <x v="9"/>
    <n v="55.5"/>
    <n v="277.5"/>
    <x v="83"/>
    <d v="2025-03-28T00:00:00"/>
    <x v="1"/>
    <x v="1"/>
    <x v="0"/>
    <x v="0"/>
    <x v="24"/>
    <x v="2"/>
    <x v="12"/>
    <x v="1"/>
  </r>
  <r>
    <s v="TX502280"/>
    <x v="8"/>
    <x v="0"/>
    <n v="23.1"/>
    <n v="23.1"/>
    <x v="83"/>
    <d v="2025-03-26T00:00:00"/>
    <x v="1"/>
    <x v="0"/>
    <x v="0"/>
    <x v="0"/>
    <x v="25"/>
    <x v="3"/>
    <x v="12"/>
    <x v="1"/>
  </r>
  <r>
    <s v="TX502281"/>
    <x v="18"/>
    <x v="1"/>
    <n v="38.9"/>
    <n v="77.8"/>
    <x v="83"/>
    <d v="2025-03-26T00:00:00"/>
    <x v="1"/>
    <x v="2"/>
    <x v="0"/>
    <x v="0"/>
    <x v="25"/>
    <x v="3"/>
    <x v="12"/>
    <x v="1"/>
  </r>
  <r>
    <s v="TX502282"/>
    <x v="6"/>
    <x v="11"/>
    <n v="116.3"/>
    <n v="1046.7"/>
    <x v="83"/>
    <d v="2025-03-29T00:00:00"/>
    <x v="2"/>
    <x v="0"/>
    <x v="0"/>
    <x v="0"/>
    <x v="5"/>
    <x v="5"/>
    <x v="12"/>
    <x v="2"/>
  </r>
  <r>
    <s v="TX502283"/>
    <x v="16"/>
    <x v="11"/>
    <n v="64.099999999999994"/>
    <n v="576.9"/>
    <x v="83"/>
    <d v="2025-03-25T00:00:00"/>
    <x v="2"/>
    <x v="0"/>
    <x v="2"/>
    <x v="0"/>
    <x v="6"/>
    <x v="7"/>
    <x v="12"/>
    <x v="2"/>
  </r>
  <r>
    <s v="TX502284"/>
    <x v="2"/>
    <x v="13"/>
    <n v="109.2"/>
    <n v="655.20000000000005"/>
    <x v="83"/>
    <d v="2025-03-27T00:00:00"/>
    <x v="1"/>
    <x v="0"/>
    <x v="1"/>
    <x v="0"/>
    <x v="8"/>
    <x v="1"/>
    <x v="12"/>
    <x v="1"/>
  </r>
  <r>
    <s v="TX502285"/>
    <x v="10"/>
    <x v="9"/>
    <n v="23.2"/>
    <n v="116"/>
    <x v="84"/>
    <d v="2025-03-27T00:00:00"/>
    <x v="1"/>
    <x v="0"/>
    <x v="1"/>
    <x v="0"/>
    <x v="8"/>
    <x v="3"/>
    <x v="12"/>
    <x v="1"/>
  </r>
  <r>
    <s v="TX502286"/>
    <x v="18"/>
    <x v="13"/>
    <n v="81.2"/>
    <n v="487.20000000000005"/>
    <x v="84"/>
    <d v="2025-03-28T00:00:00"/>
    <x v="1"/>
    <x v="2"/>
    <x v="2"/>
    <x v="0"/>
    <x v="8"/>
    <x v="1"/>
    <x v="12"/>
    <x v="1"/>
  </r>
  <r>
    <s v="TX502287"/>
    <x v="1"/>
    <x v="21"/>
    <n v="35.700000000000003"/>
    <n v="499.80000000000007"/>
    <x v="84"/>
    <d v="2025-03-27T00:00:00"/>
    <x v="1"/>
    <x v="3"/>
    <x v="0"/>
    <x v="0"/>
    <x v="8"/>
    <x v="3"/>
    <x v="12"/>
    <x v="1"/>
  </r>
  <r>
    <s v="TX502288"/>
    <x v="7"/>
    <x v="1"/>
    <n v="44.5"/>
    <n v="89"/>
    <x v="84"/>
    <d v="2025-03-29T00:00:00"/>
    <x v="1"/>
    <x v="4"/>
    <x v="0"/>
    <x v="0"/>
    <x v="9"/>
    <x v="2"/>
    <x v="12"/>
    <x v="1"/>
  </r>
  <r>
    <s v="TX502289"/>
    <x v="1"/>
    <x v="9"/>
    <n v="32"/>
    <n v="160"/>
    <x v="84"/>
    <d v="2025-03-28T00:00:00"/>
    <x v="3"/>
    <x v="1"/>
    <x v="1"/>
    <x v="0"/>
    <x v="9"/>
    <x v="1"/>
    <x v="12"/>
    <x v="3"/>
  </r>
  <r>
    <s v="TX502290"/>
    <x v="8"/>
    <x v="0"/>
    <n v="25.7"/>
    <n v="25.7"/>
    <x v="84"/>
    <d v="2025-03-27T00:00:00"/>
    <x v="1"/>
    <x v="0"/>
    <x v="0"/>
    <x v="0"/>
    <x v="10"/>
    <x v="3"/>
    <x v="12"/>
    <x v="1"/>
  </r>
  <r>
    <s v="TX502291"/>
    <x v="16"/>
    <x v="2"/>
    <n v="65.599999999999994"/>
    <n v="196.79999999999998"/>
    <x v="84"/>
    <d v="2025-04-01T00:00:00"/>
    <x v="1"/>
    <x v="0"/>
    <x v="0"/>
    <x v="0"/>
    <x v="11"/>
    <x v="4"/>
    <x v="12"/>
    <x v="1"/>
  </r>
  <r>
    <s v="TX502292"/>
    <x v="1"/>
    <x v="12"/>
    <n v="52.1"/>
    <n v="208.4"/>
    <x v="84"/>
    <d v="2025-03-27T00:00:00"/>
    <x v="2"/>
    <x v="0"/>
    <x v="2"/>
    <x v="0"/>
    <x v="11"/>
    <x v="3"/>
    <x v="12"/>
    <x v="2"/>
  </r>
  <r>
    <s v="TX502293"/>
    <x v="8"/>
    <x v="0"/>
    <n v="31"/>
    <n v="31"/>
    <x v="84"/>
    <d v="2025-03-27T00:00:00"/>
    <x v="1"/>
    <x v="0"/>
    <x v="1"/>
    <x v="0"/>
    <x v="19"/>
    <x v="3"/>
    <x v="12"/>
    <x v="1"/>
  </r>
  <r>
    <s v="TX502294"/>
    <x v="8"/>
    <x v="0"/>
    <n v="32"/>
    <n v="32"/>
    <x v="84"/>
    <d v="2025-03-28T00:00:00"/>
    <x v="3"/>
    <x v="3"/>
    <x v="1"/>
    <x v="0"/>
    <x v="31"/>
    <x v="1"/>
    <x v="12"/>
    <x v="3"/>
  </r>
  <r>
    <s v="TX502295"/>
    <x v="16"/>
    <x v="12"/>
    <n v="58.3"/>
    <n v="233.2"/>
    <x v="84"/>
    <d v="2025-03-30T00:00:00"/>
    <x v="1"/>
    <x v="1"/>
    <x v="4"/>
    <x v="0"/>
    <x v="20"/>
    <x v="5"/>
    <x v="12"/>
    <x v="1"/>
  </r>
  <r>
    <s v="TX502296"/>
    <x v="8"/>
    <x v="2"/>
    <n v="31"/>
    <n v="93"/>
    <x v="84"/>
    <d v="2025-03-28T00:00:00"/>
    <x v="2"/>
    <x v="2"/>
    <x v="4"/>
    <x v="0"/>
    <x v="13"/>
    <x v="1"/>
    <x v="12"/>
    <x v="2"/>
  </r>
  <r>
    <s v="TX502297"/>
    <x v="3"/>
    <x v="0"/>
    <n v="40.299999999999997"/>
    <n v="40.299999999999997"/>
    <x v="84"/>
    <d v="2025-03-27T00:00:00"/>
    <x v="1"/>
    <x v="1"/>
    <x v="2"/>
    <x v="0"/>
    <x v="54"/>
    <x v="3"/>
    <x v="12"/>
    <x v="1"/>
  </r>
  <r>
    <s v="TX502298"/>
    <x v="6"/>
    <x v="2"/>
    <n v="47.3"/>
    <n v="141.89999999999998"/>
    <x v="84"/>
    <d v="2025-03-28T00:00:00"/>
    <x v="1"/>
    <x v="4"/>
    <x v="2"/>
    <x v="0"/>
    <x v="2"/>
    <x v="1"/>
    <x v="12"/>
    <x v="1"/>
  </r>
  <r>
    <s v="TX502299"/>
    <x v="2"/>
    <x v="0"/>
    <n v="82.8"/>
    <n v="82.8"/>
    <x v="84"/>
    <d v="2025-03-27T00:00:00"/>
    <x v="1"/>
    <x v="0"/>
    <x v="0"/>
    <x v="0"/>
    <x v="2"/>
    <x v="3"/>
    <x v="12"/>
    <x v="1"/>
  </r>
  <r>
    <s v="TX502300"/>
    <x v="8"/>
    <x v="0"/>
    <n v="18.5"/>
    <n v="18.5"/>
    <x v="84"/>
    <d v="2025-04-09T00:00:00"/>
    <x v="2"/>
    <x v="0"/>
    <x v="0"/>
    <x v="0"/>
    <x v="44"/>
    <x v="12"/>
    <x v="12"/>
    <x v="2"/>
  </r>
  <r>
    <s v="TX502301"/>
    <x v="3"/>
    <x v="1"/>
    <n v="60.4"/>
    <n v="120.8"/>
    <x v="84"/>
    <d v="2025-03-27T00:00:00"/>
    <x v="1"/>
    <x v="2"/>
    <x v="0"/>
    <x v="0"/>
    <x v="22"/>
    <x v="3"/>
    <x v="12"/>
    <x v="1"/>
  </r>
  <r>
    <s v="TX502302"/>
    <x v="6"/>
    <x v="9"/>
    <n v="80.2"/>
    <n v="401"/>
    <x v="84"/>
    <d v="2025-04-02T00:00:00"/>
    <x v="1"/>
    <x v="1"/>
    <x v="1"/>
    <x v="0"/>
    <x v="50"/>
    <x v="6"/>
    <x v="12"/>
    <x v="1"/>
  </r>
  <r>
    <s v="TX502303"/>
    <x v="4"/>
    <x v="0"/>
    <n v="41.5"/>
    <n v="41.5"/>
    <x v="84"/>
    <d v="2025-03-28T00:00:00"/>
    <x v="1"/>
    <x v="2"/>
    <x v="0"/>
    <x v="0"/>
    <x v="3"/>
    <x v="1"/>
    <x v="12"/>
    <x v="1"/>
  </r>
  <r>
    <s v="TX502304"/>
    <x v="2"/>
    <x v="1"/>
    <n v="83.9"/>
    <n v="167.8"/>
    <x v="84"/>
    <d v="2025-03-29T00:00:00"/>
    <x v="2"/>
    <x v="0"/>
    <x v="0"/>
    <x v="0"/>
    <x v="3"/>
    <x v="2"/>
    <x v="12"/>
    <x v="2"/>
  </r>
  <r>
    <s v="TX502305"/>
    <x v="8"/>
    <x v="1"/>
    <n v="16.7"/>
    <n v="33.4"/>
    <x v="84"/>
    <d v="2025-03-30T00:00:00"/>
    <x v="2"/>
    <x v="0"/>
    <x v="1"/>
    <x v="0"/>
    <x v="3"/>
    <x v="5"/>
    <x v="12"/>
    <x v="2"/>
  </r>
  <r>
    <s v="TX502306"/>
    <x v="9"/>
    <x v="1"/>
    <n v="72.900000000000006"/>
    <n v="145.80000000000001"/>
    <x v="84"/>
    <d v="2025-03-27T00:00:00"/>
    <x v="1"/>
    <x v="2"/>
    <x v="1"/>
    <x v="0"/>
    <x v="3"/>
    <x v="3"/>
    <x v="12"/>
    <x v="1"/>
  </r>
  <r>
    <s v="TX502307"/>
    <x v="5"/>
    <x v="1"/>
    <n v="50.2"/>
    <n v="100.4"/>
    <x v="84"/>
    <d v="2025-03-28T00:00:00"/>
    <x v="2"/>
    <x v="1"/>
    <x v="2"/>
    <x v="0"/>
    <x v="3"/>
    <x v="1"/>
    <x v="12"/>
    <x v="2"/>
  </r>
  <r>
    <s v="TX502308"/>
    <x v="3"/>
    <x v="1"/>
    <n v="34.200000000000003"/>
    <n v="68.400000000000006"/>
    <x v="84"/>
    <d v="2025-04-05T00:00:00"/>
    <x v="0"/>
    <x v="1"/>
    <x v="0"/>
    <x v="0"/>
    <x v="3"/>
    <x v="14"/>
    <x v="12"/>
    <x v="0"/>
  </r>
  <r>
    <s v="TX502309"/>
    <x v="5"/>
    <x v="1"/>
    <n v="107.9"/>
    <n v="215.8"/>
    <x v="84"/>
    <d v="2025-03-26T00:00:00"/>
    <x v="1"/>
    <x v="1"/>
    <x v="4"/>
    <x v="0"/>
    <x v="3"/>
    <x v="7"/>
    <x v="12"/>
    <x v="1"/>
  </r>
  <r>
    <s v="TX502310"/>
    <x v="0"/>
    <x v="2"/>
    <n v="17.5"/>
    <n v="52.5"/>
    <x v="84"/>
    <d v="2025-03-28T00:00:00"/>
    <x v="1"/>
    <x v="4"/>
    <x v="0"/>
    <x v="0"/>
    <x v="3"/>
    <x v="1"/>
    <x v="12"/>
    <x v="1"/>
  </r>
  <r>
    <s v="TX502311"/>
    <x v="13"/>
    <x v="20"/>
    <n v="44.7"/>
    <n v="670.5"/>
    <x v="84"/>
    <d v="2025-03-27T00:00:00"/>
    <x v="1"/>
    <x v="0"/>
    <x v="1"/>
    <x v="0"/>
    <x v="3"/>
    <x v="3"/>
    <x v="12"/>
    <x v="1"/>
  </r>
  <r>
    <s v="TX502312"/>
    <x v="12"/>
    <x v="13"/>
    <n v="92.7"/>
    <n v="556.20000000000005"/>
    <x v="84"/>
    <d v="2025-03-28T00:00:00"/>
    <x v="2"/>
    <x v="2"/>
    <x v="1"/>
    <x v="0"/>
    <x v="3"/>
    <x v="1"/>
    <x v="12"/>
    <x v="2"/>
  </r>
  <r>
    <s v="TX502313"/>
    <x v="7"/>
    <x v="2"/>
    <n v="48.8"/>
    <n v="146.39999999999998"/>
    <x v="84"/>
    <d v="2025-03-28T00:00:00"/>
    <x v="2"/>
    <x v="2"/>
    <x v="0"/>
    <x v="0"/>
    <x v="3"/>
    <x v="1"/>
    <x v="12"/>
    <x v="2"/>
  </r>
  <r>
    <s v="TX502314"/>
    <x v="4"/>
    <x v="27"/>
    <n v="21.3"/>
    <n v="340.8"/>
    <x v="84"/>
    <d v="2025-03-30T00:00:00"/>
    <x v="2"/>
    <x v="3"/>
    <x v="3"/>
    <x v="0"/>
    <x v="3"/>
    <x v="5"/>
    <x v="12"/>
    <x v="2"/>
  </r>
  <r>
    <s v="TX502315"/>
    <x v="16"/>
    <x v="0"/>
    <n v="52.5"/>
    <n v="52.5"/>
    <x v="84"/>
    <d v="2025-03-27T00:00:00"/>
    <x v="2"/>
    <x v="0"/>
    <x v="0"/>
    <x v="0"/>
    <x v="3"/>
    <x v="3"/>
    <x v="12"/>
    <x v="2"/>
  </r>
  <r>
    <s v="TX502316"/>
    <x v="1"/>
    <x v="1"/>
    <n v="92.4"/>
    <n v="184.8"/>
    <x v="84"/>
    <d v="2025-04-01T00:00:00"/>
    <x v="2"/>
    <x v="0"/>
    <x v="2"/>
    <x v="0"/>
    <x v="3"/>
    <x v="4"/>
    <x v="12"/>
    <x v="2"/>
  </r>
  <r>
    <s v="TX502317"/>
    <x v="4"/>
    <x v="5"/>
    <n v="58.3"/>
    <n v="641.29999999999995"/>
    <x v="84"/>
    <d v="2025-03-28T00:00:00"/>
    <x v="1"/>
    <x v="1"/>
    <x v="2"/>
    <x v="0"/>
    <x v="3"/>
    <x v="1"/>
    <x v="12"/>
    <x v="1"/>
  </r>
  <r>
    <s v="TX502318"/>
    <x v="6"/>
    <x v="44"/>
    <n v="152.6"/>
    <n v="3509.7999999999997"/>
    <x v="85"/>
    <d v="2025-03-29T00:00:00"/>
    <x v="0"/>
    <x v="0"/>
    <x v="0"/>
    <x v="0"/>
    <x v="3"/>
    <x v="1"/>
    <x v="12"/>
    <x v="0"/>
  </r>
  <r>
    <s v="TX502319"/>
    <x v="8"/>
    <x v="1"/>
    <n v="26"/>
    <n v="52"/>
    <x v="85"/>
    <d v="2025-03-27T00:00:00"/>
    <x v="0"/>
    <x v="0"/>
    <x v="1"/>
    <x v="0"/>
    <x v="3"/>
    <x v="7"/>
    <x v="12"/>
    <x v="0"/>
  </r>
  <r>
    <s v="TX502320"/>
    <x v="1"/>
    <x v="12"/>
    <n v="33.1"/>
    <n v="132.4"/>
    <x v="85"/>
    <d v="2025-03-27T00:00:00"/>
    <x v="1"/>
    <x v="2"/>
    <x v="4"/>
    <x v="0"/>
    <x v="5"/>
    <x v="7"/>
    <x v="12"/>
    <x v="1"/>
  </r>
  <r>
    <s v="TX502321"/>
    <x v="18"/>
    <x v="0"/>
    <n v="51.4"/>
    <n v="51.4"/>
    <x v="85"/>
    <d v="2025-03-29T00:00:00"/>
    <x v="2"/>
    <x v="1"/>
    <x v="1"/>
    <x v="0"/>
    <x v="5"/>
    <x v="1"/>
    <x v="12"/>
    <x v="2"/>
  </r>
  <r>
    <s v="TX502322"/>
    <x v="8"/>
    <x v="1"/>
    <n v="30.2"/>
    <n v="60.4"/>
    <x v="85"/>
    <d v="2025-03-28T00:00:00"/>
    <x v="2"/>
    <x v="2"/>
    <x v="2"/>
    <x v="0"/>
    <x v="6"/>
    <x v="3"/>
    <x v="12"/>
    <x v="2"/>
  </r>
  <r>
    <s v="TX502323"/>
    <x v="2"/>
    <x v="13"/>
    <n v="97"/>
    <n v="582"/>
    <x v="85"/>
    <d v="2025-03-31T00:00:00"/>
    <x v="2"/>
    <x v="0"/>
    <x v="2"/>
    <x v="0"/>
    <x v="7"/>
    <x v="5"/>
    <x v="12"/>
    <x v="2"/>
  </r>
  <r>
    <s v="TX502324"/>
    <x v="2"/>
    <x v="0"/>
    <n v="76.900000000000006"/>
    <n v="76.900000000000006"/>
    <x v="85"/>
    <d v="2025-03-28T00:00:00"/>
    <x v="1"/>
    <x v="1"/>
    <x v="2"/>
    <x v="0"/>
    <x v="8"/>
    <x v="3"/>
    <x v="12"/>
    <x v="1"/>
  </r>
  <r>
    <s v="TX502325"/>
    <x v="7"/>
    <x v="13"/>
    <n v="36.1"/>
    <n v="216.60000000000002"/>
    <x v="85"/>
    <d v="2025-03-31T00:00:00"/>
    <x v="2"/>
    <x v="0"/>
    <x v="0"/>
    <x v="0"/>
    <x v="8"/>
    <x v="5"/>
    <x v="12"/>
    <x v="2"/>
  </r>
  <r>
    <s v="TX502326"/>
    <x v="1"/>
    <x v="3"/>
    <n v="34.4"/>
    <n v="240.79999999999998"/>
    <x v="85"/>
    <d v="2025-03-27T00:00:00"/>
    <x v="2"/>
    <x v="2"/>
    <x v="1"/>
    <x v="0"/>
    <x v="11"/>
    <x v="7"/>
    <x v="12"/>
    <x v="2"/>
  </r>
  <r>
    <s v="TX502327"/>
    <x v="1"/>
    <x v="31"/>
    <n v="53.4"/>
    <n v="1495.2"/>
    <x v="85"/>
    <d v="2025-03-29T00:00:00"/>
    <x v="2"/>
    <x v="1"/>
    <x v="0"/>
    <x v="0"/>
    <x v="18"/>
    <x v="1"/>
    <x v="12"/>
    <x v="2"/>
  </r>
  <r>
    <s v="TX502328"/>
    <x v="2"/>
    <x v="0"/>
    <n v="77.599999999999994"/>
    <n v="77.599999999999994"/>
    <x v="85"/>
    <d v="2025-03-28T00:00:00"/>
    <x v="2"/>
    <x v="0"/>
    <x v="1"/>
    <x v="0"/>
    <x v="19"/>
    <x v="3"/>
    <x v="12"/>
    <x v="2"/>
  </r>
  <r>
    <s v="TX502329"/>
    <x v="1"/>
    <x v="2"/>
    <n v="71.7"/>
    <n v="215.10000000000002"/>
    <x v="85"/>
    <d v="2025-03-30T00:00:00"/>
    <x v="2"/>
    <x v="1"/>
    <x v="0"/>
    <x v="0"/>
    <x v="19"/>
    <x v="2"/>
    <x v="12"/>
    <x v="2"/>
  </r>
  <r>
    <s v="TX502330"/>
    <x v="3"/>
    <x v="2"/>
    <n v="80.599999999999994"/>
    <n v="241.79999999999998"/>
    <x v="85"/>
    <d v="2025-03-28T00:00:00"/>
    <x v="1"/>
    <x v="4"/>
    <x v="1"/>
    <x v="0"/>
    <x v="19"/>
    <x v="3"/>
    <x v="12"/>
    <x v="1"/>
  </r>
  <r>
    <s v="TX502331"/>
    <x v="1"/>
    <x v="20"/>
    <n v="70"/>
    <n v="1050"/>
    <x v="85"/>
    <d v="2025-03-29T00:00:00"/>
    <x v="1"/>
    <x v="0"/>
    <x v="0"/>
    <x v="0"/>
    <x v="20"/>
    <x v="1"/>
    <x v="12"/>
    <x v="1"/>
  </r>
  <r>
    <s v="TX502332"/>
    <x v="4"/>
    <x v="13"/>
    <n v="27.3"/>
    <n v="163.80000000000001"/>
    <x v="85"/>
    <d v="2025-03-29T00:00:00"/>
    <x v="2"/>
    <x v="1"/>
    <x v="1"/>
    <x v="0"/>
    <x v="2"/>
    <x v="1"/>
    <x v="12"/>
    <x v="2"/>
  </r>
  <r>
    <s v="TX502333"/>
    <x v="8"/>
    <x v="21"/>
    <n v="37.6"/>
    <n v="526.4"/>
    <x v="85"/>
    <d v="2025-03-29T00:00:00"/>
    <x v="1"/>
    <x v="1"/>
    <x v="0"/>
    <x v="0"/>
    <x v="3"/>
    <x v="1"/>
    <x v="12"/>
    <x v="1"/>
  </r>
  <r>
    <s v="TX502334"/>
    <x v="5"/>
    <x v="2"/>
    <n v="36.6"/>
    <n v="109.80000000000001"/>
    <x v="85"/>
    <d v="2025-03-29T00:00:00"/>
    <x v="2"/>
    <x v="4"/>
    <x v="0"/>
    <x v="0"/>
    <x v="3"/>
    <x v="1"/>
    <x v="12"/>
    <x v="2"/>
  </r>
  <r>
    <s v="TX502335"/>
    <x v="13"/>
    <x v="0"/>
    <n v="55.2"/>
    <n v="55.2"/>
    <x v="85"/>
    <d v="2025-03-29T00:00:00"/>
    <x v="1"/>
    <x v="3"/>
    <x v="0"/>
    <x v="0"/>
    <x v="3"/>
    <x v="1"/>
    <x v="12"/>
    <x v="1"/>
  </r>
  <r>
    <s v="TX502336"/>
    <x v="6"/>
    <x v="9"/>
    <n v="59.9"/>
    <n v="299.5"/>
    <x v="85"/>
    <d v="2025-03-29T00:00:00"/>
    <x v="1"/>
    <x v="0"/>
    <x v="0"/>
    <x v="0"/>
    <x v="3"/>
    <x v="1"/>
    <x v="12"/>
    <x v="1"/>
  </r>
  <r>
    <s v="TX502337"/>
    <x v="6"/>
    <x v="0"/>
    <n v="44"/>
    <n v="44"/>
    <x v="85"/>
    <d v="2025-03-28T00:00:00"/>
    <x v="2"/>
    <x v="2"/>
    <x v="2"/>
    <x v="0"/>
    <x v="3"/>
    <x v="3"/>
    <x v="12"/>
    <x v="2"/>
  </r>
  <r>
    <s v="TX502338"/>
    <x v="9"/>
    <x v="1"/>
    <n v="68.7"/>
    <n v="137.4"/>
    <x v="85"/>
    <d v="2025-03-27T00:00:00"/>
    <x v="1"/>
    <x v="0"/>
    <x v="0"/>
    <x v="0"/>
    <x v="3"/>
    <x v="7"/>
    <x v="12"/>
    <x v="1"/>
  </r>
  <r>
    <s v="TX502339"/>
    <x v="5"/>
    <x v="1"/>
    <n v="61.6"/>
    <n v="123.2"/>
    <x v="85"/>
    <d v="2025-03-31T00:00:00"/>
    <x v="1"/>
    <x v="3"/>
    <x v="1"/>
    <x v="0"/>
    <x v="3"/>
    <x v="5"/>
    <x v="12"/>
    <x v="1"/>
  </r>
  <r>
    <s v="TX502340"/>
    <x v="7"/>
    <x v="3"/>
    <n v="51.8"/>
    <n v="362.59999999999997"/>
    <x v="85"/>
    <d v="2025-03-28T00:00:00"/>
    <x v="1"/>
    <x v="0"/>
    <x v="0"/>
    <x v="0"/>
    <x v="3"/>
    <x v="3"/>
    <x v="12"/>
    <x v="1"/>
  </r>
  <r>
    <s v="TX502341"/>
    <x v="8"/>
    <x v="7"/>
    <n v="46.2"/>
    <n v="462"/>
    <x v="85"/>
    <d v="2025-03-29T00:00:00"/>
    <x v="1"/>
    <x v="1"/>
    <x v="2"/>
    <x v="0"/>
    <x v="3"/>
    <x v="1"/>
    <x v="12"/>
    <x v="1"/>
  </r>
  <r>
    <s v="TX502342"/>
    <x v="0"/>
    <x v="1"/>
    <n v="19.399999999999999"/>
    <n v="38.799999999999997"/>
    <x v="85"/>
    <d v="2025-03-29T00:00:00"/>
    <x v="2"/>
    <x v="1"/>
    <x v="2"/>
    <x v="0"/>
    <x v="6"/>
    <x v="1"/>
    <x v="12"/>
    <x v="2"/>
  </r>
  <r>
    <s v="TX502343"/>
    <x v="11"/>
    <x v="2"/>
    <n v="52.1"/>
    <n v="156.30000000000001"/>
    <x v="85"/>
    <d v="2025-03-30T00:00:00"/>
    <x v="1"/>
    <x v="3"/>
    <x v="3"/>
    <x v="0"/>
    <x v="6"/>
    <x v="2"/>
    <x v="12"/>
    <x v="1"/>
  </r>
  <r>
    <s v="TX502344"/>
    <x v="6"/>
    <x v="0"/>
    <n v="74.900000000000006"/>
    <n v="74.900000000000006"/>
    <x v="85"/>
    <d v="2025-03-29T00:00:00"/>
    <x v="3"/>
    <x v="0"/>
    <x v="0"/>
    <x v="0"/>
    <x v="7"/>
    <x v="1"/>
    <x v="12"/>
    <x v="3"/>
  </r>
  <r>
    <s v="TX502345"/>
    <x v="9"/>
    <x v="3"/>
    <n v="49.6"/>
    <n v="347.2"/>
    <x v="85"/>
    <d v="2025-03-30T00:00:00"/>
    <x v="2"/>
    <x v="4"/>
    <x v="0"/>
    <x v="0"/>
    <x v="8"/>
    <x v="2"/>
    <x v="12"/>
    <x v="2"/>
  </r>
  <r>
    <s v="TX502346"/>
    <x v="16"/>
    <x v="12"/>
    <n v="82.8"/>
    <n v="331.2"/>
    <x v="86"/>
    <d v="2025-03-31T00:00:00"/>
    <x v="2"/>
    <x v="4"/>
    <x v="0"/>
    <x v="0"/>
    <x v="8"/>
    <x v="2"/>
    <x v="12"/>
    <x v="2"/>
  </r>
  <r>
    <s v="TX502347"/>
    <x v="2"/>
    <x v="0"/>
    <n v="97.7"/>
    <n v="97.7"/>
    <x v="86"/>
    <d v="2025-03-29T00:00:00"/>
    <x v="2"/>
    <x v="1"/>
    <x v="0"/>
    <x v="0"/>
    <x v="8"/>
    <x v="3"/>
    <x v="12"/>
    <x v="2"/>
  </r>
  <r>
    <s v="TX502348"/>
    <x v="6"/>
    <x v="9"/>
    <n v="83.6"/>
    <n v="418"/>
    <x v="86"/>
    <d v="2025-03-29T00:00:00"/>
    <x v="2"/>
    <x v="4"/>
    <x v="0"/>
    <x v="0"/>
    <x v="8"/>
    <x v="3"/>
    <x v="12"/>
    <x v="2"/>
  </r>
  <r>
    <s v="TX502349"/>
    <x v="8"/>
    <x v="9"/>
    <n v="23.5"/>
    <n v="117.5"/>
    <x v="86"/>
    <d v="2025-04-01T00:00:00"/>
    <x v="3"/>
    <x v="0"/>
    <x v="0"/>
    <x v="0"/>
    <x v="8"/>
    <x v="5"/>
    <x v="12"/>
    <x v="3"/>
  </r>
  <r>
    <s v="TX502350"/>
    <x v="9"/>
    <x v="2"/>
    <n v="44.6"/>
    <n v="133.80000000000001"/>
    <x v="86"/>
    <d v="2025-03-31T00:00:00"/>
    <x v="2"/>
    <x v="4"/>
    <x v="1"/>
    <x v="0"/>
    <x v="26"/>
    <x v="2"/>
    <x v="12"/>
    <x v="2"/>
  </r>
  <r>
    <s v="TX502351"/>
    <x v="0"/>
    <x v="2"/>
    <n v="20.100000000000001"/>
    <n v="60.300000000000004"/>
    <x v="86"/>
    <d v="2025-03-30T00:00:00"/>
    <x v="2"/>
    <x v="3"/>
    <x v="4"/>
    <x v="0"/>
    <x v="11"/>
    <x v="1"/>
    <x v="12"/>
    <x v="2"/>
  </r>
  <r>
    <s v="TX502352"/>
    <x v="2"/>
    <x v="9"/>
    <n v="153.6"/>
    <n v="768"/>
    <x v="86"/>
    <d v="2025-03-29T00:00:00"/>
    <x v="2"/>
    <x v="1"/>
    <x v="2"/>
    <x v="0"/>
    <x v="53"/>
    <x v="3"/>
    <x v="12"/>
    <x v="2"/>
  </r>
  <r>
    <s v="TX502353"/>
    <x v="1"/>
    <x v="1"/>
    <n v="71.8"/>
    <n v="143.6"/>
    <x v="86"/>
    <d v="2025-04-01T00:00:00"/>
    <x v="2"/>
    <x v="1"/>
    <x v="0"/>
    <x v="0"/>
    <x v="1"/>
    <x v="5"/>
    <x v="12"/>
    <x v="2"/>
  </r>
  <r>
    <s v="TX502354"/>
    <x v="10"/>
    <x v="0"/>
    <n v="64.7"/>
    <n v="64.7"/>
    <x v="86"/>
    <d v="2025-03-30T00:00:00"/>
    <x v="0"/>
    <x v="0"/>
    <x v="1"/>
    <x v="0"/>
    <x v="1"/>
    <x v="1"/>
    <x v="12"/>
    <x v="0"/>
  </r>
  <r>
    <s v="TX502355"/>
    <x v="9"/>
    <x v="8"/>
    <n v="60.4"/>
    <n v="483.2"/>
    <x v="86"/>
    <d v="2025-03-30T00:00:00"/>
    <x v="2"/>
    <x v="3"/>
    <x v="2"/>
    <x v="0"/>
    <x v="2"/>
    <x v="1"/>
    <x v="12"/>
    <x v="2"/>
  </r>
  <r>
    <s v="TX502356"/>
    <x v="6"/>
    <x v="12"/>
    <n v="86"/>
    <n v="344"/>
    <x v="86"/>
    <d v="2025-03-31T00:00:00"/>
    <x v="2"/>
    <x v="2"/>
    <x v="2"/>
    <x v="0"/>
    <x v="22"/>
    <x v="2"/>
    <x v="12"/>
    <x v="2"/>
  </r>
  <r>
    <s v="TX502357"/>
    <x v="12"/>
    <x v="1"/>
    <n v="42.1"/>
    <n v="84.2"/>
    <x v="86"/>
    <d v="2025-03-29T00:00:00"/>
    <x v="2"/>
    <x v="4"/>
    <x v="1"/>
    <x v="0"/>
    <x v="34"/>
    <x v="3"/>
    <x v="12"/>
    <x v="2"/>
  </r>
  <r>
    <s v="TX502358"/>
    <x v="16"/>
    <x v="11"/>
    <n v="51.1"/>
    <n v="459.90000000000003"/>
    <x v="86"/>
    <d v="2025-03-29T00:00:00"/>
    <x v="1"/>
    <x v="2"/>
    <x v="1"/>
    <x v="0"/>
    <x v="3"/>
    <x v="3"/>
    <x v="12"/>
    <x v="1"/>
  </r>
  <r>
    <s v="TX502359"/>
    <x v="9"/>
    <x v="12"/>
    <n v="73.8"/>
    <n v="295.2"/>
    <x v="86"/>
    <d v="2025-03-29T00:00:00"/>
    <x v="1"/>
    <x v="4"/>
    <x v="0"/>
    <x v="0"/>
    <x v="3"/>
    <x v="3"/>
    <x v="12"/>
    <x v="1"/>
  </r>
  <r>
    <s v="TX502360"/>
    <x v="8"/>
    <x v="9"/>
    <n v="27"/>
    <n v="135"/>
    <x v="86"/>
    <d v="2025-03-31T00:00:00"/>
    <x v="2"/>
    <x v="2"/>
    <x v="2"/>
    <x v="0"/>
    <x v="3"/>
    <x v="2"/>
    <x v="12"/>
    <x v="2"/>
  </r>
  <r>
    <s v="TX502361"/>
    <x v="8"/>
    <x v="13"/>
    <n v="60.1"/>
    <n v="360.6"/>
    <x v="86"/>
    <d v="2025-03-29T00:00:00"/>
    <x v="1"/>
    <x v="3"/>
    <x v="0"/>
    <x v="0"/>
    <x v="3"/>
    <x v="3"/>
    <x v="12"/>
    <x v="1"/>
  </r>
  <r>
    <s v="TX502362"/>
    <x v="2"/>
    <x v="3"/>
    <n v="94.1"/>
    <n v="658.69999999999993"/>
    <x v="86"/>
    <d v="2025-03-30T00:00:00"/>
    <x v="2"/>
    <x v="4"/>
    <x v="1"/>
    <x v="0"/>
    <x v="3"/>
    <x v="1"/>
    <x v="12"/>
    <x v="2"/>
  </r>
  <r>
    <s v="TX502363"/>
    <x v="2"/>
    <x v="1"/>
    <n v="124.1"/>
    <n v="248.2"/>
    <x v="86"/>
    <d v="2025-03-28T00:00:00"/>
    <x v="2"/>
    <x v="2"/>
    <x v="3"/>
    <x v="0"/>
    <x v="43"/>
    <x v="7"/>
    <x v="12"/>
    <x v="2"/>
  </r>
  <r>
    <s v="TX502364"/>
    <x v="8"/>
    <x v="12"/>
    <n v="16.899999999999999"/>
    <n v="67.599999999999994"/>
    <x v="86"/>
    <d v="2025-03-31T00:00:00"/>
    <x v="1"/>
    <x v="3"/>
    <x v="0"/>
    <x v="0"/>
    <x v="6"/>
    <x v="2"/>
    <x v="12"/>
    <x v="1"/>
  </r>
  <r>
    <s v="TX502365"/>
    <x v="1"/>
    <x v="0"/>
    <n v="36.9"/>
    <n v="36.9"/>
    <x v="86"/>
    <d v="2025-03-29T00:00:00"/>
    <x v="1"/>
    <x v="0"/>
    <x v="0"/>
    <x v="0"/>
    <x v="6"/>
    <x v="3"/>
    <x v="12"/>
    <x v="1"/>
  </r>
  <r>
    <s v="TX502366"/>
    <x v="9"/>
    <x v="1"/>
    <n v="22.6"/>
    <n v="45.2"/>
    <x v="86"/>
    <d v="2025-04-10T00:00:00"/>
    <x v="2"/>
    <x v="2"/>
    <x v="1"/>
    <x v="0"/>
    <x v="8"/>
    <x v="10"/>
    <x v="12"/>
    <x v="2"/>
  </r>
  <r>
    <s v="TX502367"/>
    <x v="7"/>
    <x v="12"/>
    <n v="35"/>
    <n v="140"/>
    <x v="86"/>
    <d v="2025-04-02T00:00:00"/>
    <x v="1"/>
    <x v="3"/>
    <x v="1"/>
    <x v="0"/>
    <x v="8"/>
    <x v="0"/>
    <x v="12"/>
    <x v="1"/>
  </r>
  <r>
    <s v="TX502368"/>
    <x v="9"/>
    <x v="13"/>
    <n v="63.6"/>
    <n v="381.6"/>
    <x v="86"/>
    <d v="2025-04-04T00:00:00"/>
    <x v="0"/>
    <x v="1"/>
    <x v="2"/>
    <x v="0"/>
    <x v="8"/>
    <x v="6"/>
    <x v="12"/>
    <x v="0"/>
  </r>
  <r>
    <s v="TX502369"/>
    <x v="15"/>
    <x v="12"/>
    <n v="78.599999999999994"/>
    <n v="314.39999999999998"/>
    <x v="86"/>
    <d v="2025-03-29T00:00:00"/>
    <x v="1"/>
    <x v="4"/>
    <x v="1"/>
    <x v="0"/>
    <x v="8"/>
    <x v="3"/>
    <x v="12"/>
    <x v="1"/>
  </r>
  <r>
    <s v="TX502370"/>
    <x v="3"/>
    <x v="1"/>
    <n v="38.5"/>
    <n v="77"/>
    <x v="86"/>
    <d v="2025-03-29T00:00:00"/>
    <x v="1"/>
    <x v="0"/>
    <x v="2"/>
    <x v="0"/>
    <x v="8"/>
    <x v="3"/>
    <x v="12"/>
    <x v="1"/>
  </r>
  <r>
    <s v="TX502371"/>
    <x v="8"/>
    <x v="5"/>
    <n v="71.5"/>
    <n v="786.5"/>
    <x v="86"/>
    <d v="2025-03-29T00:00:00"/>
    <x v="2"/>
    <x v="1"/>
    <x v="4"/>
    <x v="0"/>
    <x v="8"/>
    <x v="3"/>
    <x v="12"/>
    <x v="2"/>
  </r>
  <r>
    <s v="TX502372"/>
    <x v="6"/>
    <x v="12"/>
    <n v="121.4"/>
    <n v="485.6"/>
    <x v="86"/>
    <d v="2025-04-01T00:00:00"/>
    <x v="1"/>
    <x v="1"/>
    <x v="2"/>
    <x v="0"/>
    <x v="17"/>
    <x v="5"/>
    <x v="12"/>
    <x v="1"/>
  </r>
  <r>
    <s v="TX502373"/>
    <x v="11"/>
    <x v="0"/>
    <n v="40.200000000000003"/>
    <n v="40.200000000000003"/>
    <x v="86"/>
    <d v="2025-03-31T00:00:00"/>
    <x v="2"/>
    <x v="0"/>
    <x v="2"/>
    <x v="0"/>
    <x v="11"/>
    <x v="2"/>
    <x v="12"/>
    <x v="2"/>
  </r>
  <r>
    <s v="TX502374"/>
    <x v="5"/>
    <x v="9"/>
    <n v="31.9"/>
    <n v="159.5"/>
    <x v="86"/>
    <d v="2025-03-30T00:00:00"/>
    <x v="2"/>
    <x v="2"/>
    <x v="2"/>
    <x v="0"/>
    <x v="28"/>
    <x v="1"/>
    <x v="12"/>
    <x v="2"/>
  </r>
  <r>
    <s v="TX502375"/>
    <x v="14"/>
    <x v="9"/>
    <n v="15.8"/>
    <n v="79"/>
    <x v="87"/>
    <d v="2025-03-30T00:00:00"/>
    <x v="1"/>
    <x v="3"/>
    <x v="2"/>
    <x v="0"/>
    <x v="21"/>
    <x v="3"/>
    <x v="12"/>
    <x v="1"/>
  </r>
  <r>
    <s v="TX502376"/>
    <x v="10"/>
    <x v="1"/>
    <n v="25.1"/>
    <n v="50.2"/>
    <x v="87"/>
    <d v="2025-03-31T00:00:00"/>
    <x v="0"/>
    <x v="1"/>
    <x v="0"/>
    <x v="0"/>
    <x v="21"/>
    <x v="1"/>
    <x v="12"/>
    <x v="0"/>
  </r>
  <r>
    <s v="TX502377"/>
    <x v="1"/>
    <x v="44"/>
    <n v="38.1"/>
    <n v="876.30000000000007"/>
    <x v="87"/>
    <d v="2025-03-30T00:00:00"/>
    <x v="2"/>
    <x v="4"/>
    <x v="0"/>
    <x v="0"/>
    <x v="1"/>
    <x v="3"/>
    <x v="12"/>
    <x v="2"/>
  </r>
  <r>
    <s v="TX502378"/>
    <x v="3"/>
    <x v="1"/>
    <n v="42.2"/>
    <n v="84.4"/>
    <x v="87"/>
    <d v="2025-03-31T00:00:00"/>
    <x v="2"/>
    <x v="0"/>
    <x v="2"/>
    <x v="0"/>
    <x v="1"/>
    <x v="1"/>
    <x v="12"/>
    <x v="2"/>
  </r>
  <r>
    <s v="TX502379"/>
    <x v="0"/>
    <x v="7"/>
    <n v="12.3"/>
    <n v="123"/>
    <x v="87"/>
    <d v="2025-03-30T00:00:00"/>
    <x v="2"/>
    <x v="4"/>
    <x v="0"/>
    <x v="0"/>
    <x v="2"/>
    <x v="3"/>
    <x v="12"/>
    <x v="2"/>
  </r>
  <r>
    <s v="TX502380"/>
    <x v="7"/>
    <x v="0"/>
    <n v="30.2"/>
    <n v="30.2"/>
    <x v="87"/>
    <d v="2025-03-31T00:00:00"/>
    <x v="2"/>
    <x v="1"/>
    <x v="2"/>
    <x v="0"/>
    <x v="34"/>
    <x v="1"/>
    <x v="12"/>
    <x v="2"/>
  </r>
  <r>
    <s v="TX502381"/>
    <x v="5"/>
    <x v="2"/>
    <n v="25.3"/>
    <n v="75.900000000000006"/>
    <x v="87"/>
    <d v="2025-04-01T00:00:00"/>
    <x v="2"/>
    <x v="2"/>
    <x v="0"/>
    <x v="0"/>
    <x v="3"/>
    <x v="2"/>
    <x v="12"/>
    <x v="2"/>
  </r>
  <r>
    <s v="TX502382"/>
    <x v="8"/>
    <x v="9"/>
    <n v="29.7"/>
    <n v="148.5"/>
    <x v="87"/>
    <d v="2025-03-31T00:00:00"/>
    <x v="1"/>
    <x v="3"/>
    <x v="0"/>
    <x v="0"/>
    <x v="3"/>
    <x v="1"/>
    <x v="12"/>
    <x v="1"/>
  </r>
  <r>
    <s v="TX502383"/>
    <x v="9"/>
    <x v="8"/>
    <n v="32.9"/>
    <n v="263.2"/>
    <x v="87"/>
    <d v="2025-03-30T00:00:00"/>
    <x v="0"/>
    <x v="3"/>
    <x v="2"/>
    <x v="0"/>
    <x v="3"/>
    <x v="3"/>
    <x v="12"/>
    <x v="0"/>
  </r>
  <r>
    <s v="TX502384"/>
    <x v="10"/>
    <x v="1"/>
    <n v="43.6"/>
    <n v="87.2"/>
    <x v="87"/>
    <d v="2025-03-30T00:00:00"/>
    <x v="1"/>
    <x v="1"/>
    <x v="2"/>
    <x v="0"/>
    <x v="3"/>
    <x v="3"/>
    <x v="12"/>
    <x v="1"/>
  </r>
  <r>
    <s v="TX502385"/>
    <x v="15"/>
    <x v="12"/>
    <n v="78.400000000000006"/>
    <n v="313.60000000000002"/>
    <x v="87"/>
    <d v="2025-03-30T00:00:00"/>
    <x v="1"/>
    <x v="2"/>
    <x v="0"/>
    <x v="0"/>
    <x v="3"/>
    <x v="3"/>
    <x v="12"/>
    <x v="1"/>
  </r>
  <r>
    <s v="TX502386"/>
    <x v="6"/>
    <x v="1"/>
    <n v="56.5"/>
    <n v="113"/>
    <x v="87"/>
    <d v="2025-04-02T00:00:00"/>
    <x v="1"/>
    <x v="1"/>
    <x v="1"/>
    <x v="0"/>
    <x v="3"/>
    <x v="5"/>
    <x v="12"/>
    <x v="1"/>
  </r>
  <r>
    <s v="TX502387"/>
    <x v="16"/>
    <x v="0"/>
    <n v="36.700000000000003"/>
    <n v="36.700000000000003"/>
    <x v="87"/>
    <d v="2025-03-30T00:00:00"/>
    <x v="2"/>
    <x v="0"/>
    <x v="2"/>
    <x v="0"/>
    <x v="3"/>
    <x v="3"/>
    <x v="12"/>
    <x v="2"/>
  </r>
  <r>
    <s v="TX502388"/>
    <x v="2"/>
    <x v="12"/>
    <n v="103.6"/>
    <n v="414.4"/>
    <x v="87"/>
    <d v="2025-04-09T00:00:00"/>
    <x v="1"/>
    <x v="4"/>
    <x v="2"/>
    <x v="0"/>
    <x v="3"/>
    <x v="11"/>
    <x v="12"/>
    <x v="1"/>
  </r>
  <r>
    <s v="TX502389"/>
    <x v="8"/>
    <x v="13"/>
    <n v="16.2"/>
    <n v="97.199999999999989"/>
    <x v="87"/>
    <d v="2025-04-02T00:00:00"/>
    <x v="1"/>
    <x v="1"/>
    <x v="2"/>
    <x v="0"/>
    <x v="6"/>
    <x v="5"/>
    <x v="12"/>
    <x v="1"/>
  </r>
  <r>
    <s v="TX502390"/>
    <x v="8"/>
    <x v="1"/>
    <n v="20.2"/>
    <n v="40.4"/>
    <x v="87"/>
    <d v="2025-03-30T00:00:00"/>
    <x v="2"/>
    <x v="0"/>
    <x v="0"/>
    <x v="0"/>
    <x v="6"/>
    <x v="3"/>
    <x v="12"/>
    <x v="2"/>
  </r>
  <r>
    <s v="TX502391"/>
    <x v="11"/>
    <x v="1"/>
    <n v="26.9"/>
    <n v="53.8"/>
    <x v="87"/>
    <d v="2025-03-31T00:00:00"/>
    <x v="2"/>
    <x v="2"/>
    <x v="0"/>
    <x v="0"/>
    <x v="6"/>
    <x v="1"/>
    <x v="12"/>
    <x v="2"/>
  </r>
  <r>
    <s v="TX502392"/>
    <x v="1"/>
    <x v="1"/>
    <n v="82.4"/>
    <n v="164.8"/>
    <x v="87"/>
    <d v="2025-04-01T00:00:00"/>
    <x v="0"/>
    <x v="0"/>
    <x v="0"/>
    <x v="0"/>
    <x v="7"/>
    <x v="2"/>
    <x v="12"/>
    <x v="0"/>
  </r>
  <r>
    <s v="TX502393"/>
    <x v="2"/>
    <x v="1"/>
    <n v="117.8"/>
    <n v="235.6"/>
    <x v="87"/>
    <d v="2025-03-31T00:00:00"/>
    <x v="1"/>
    <x v="1"/>
    <x v="2"/>
    <x v="0"/>
    <x v="8"/>
    <x v="1"/>
    <x v="12"/>
    <x v="1"/>
  </r>
  <r>
    <s v="TX502394"/>
    <x v="11"/>
    <x v="12"/>
    <n v="36.700000000000003"/>
    <n v="146.80000000000001"/>
    <x v="87"/>
    <d v="2025-03-30T00:00:00"/>
    <x v="1"/>
    <x v="1"/>
    <x v="0"/>
    <x v="0"/>
    <x v="8"/>
    <x v="3"/>
    <x v="12"/>
    <x v="1"/>
  </r>
  <r>
    <s v="TX502395"/>
    <x v="17"/>
    <x v="2"/>
    <n v="46.8"/>
    <n v="140.39999999999998"/>
    <x v="87"/>
    <d v="2025-03-30T00:00:00"/>
    <x v="1"/>
    <x v="4"/>
    <x v="2"/>
    <x v="0"/>
    <x v="10"/>
    <x v="3"/>
    <x v="12"/>
    <x v="1"/>
  </r>
  <r>
    <s v="TX502396"/>
    <x v="3"/>
    <x v="0"/>
    <n v="61.4"/>
    <n v="61.4"/>
    <x v="87"/>
    <d v="2025-03-30T00:00:00"/>
    <x v="1"/>
    <x v="1"/>
    <x v="0"/>
    <x v="0"/>
    <x v="10"/>
    <x v="3"/>
    <x v="12"/>
    <x v="1"/>
  </r>
  <r>
    <s v="TX502397"/>
    <x v="15"/>
    <x v="1"/>
    <n v="22.9"/>
    <n v="45.8"/>
    <x v="87"/>
    <d v="2025-03-30T00:00:00"/>
    <x v="1"/>
    <x v="0"/>
    <x v="0"/>
    <x v="0"/>
    <x v="11"/>
    <x v="3"/>
    <x v="12"/>
    <x v="1"/>
  </r>
  <r>
    <s v="TX502398"/>
    <x v="10"/>
    <x v="1"/>
    <n v="22.1"/>
    <n v="44.2"/>
    <x v="87"/>
    <d v="2025-03-30T00:00:00"/>
    <x v="2"/>
    <x v="4"/>
    <x v="0"/>
    <x v="0"/>
    <x v="11"/>
    <x v="3"/>
    <x v="12"/>
    <x v="2"/>
  </r>
  <r>
    <s v="TX502399"/>
    <x v="12"/>
    <x v="1"/>
    <n v="31"/>
    <n v="62"/>
    <x v="87"/>
    <d v="2025-03-31T00:00:00"/>
    <x v="2"/>
    <x v="2"/>
    <x v="0"/>
    <x v="0"/>
    <x v="18"/>
    <x v="1"/>
    <x v="12"/>
    <x v="2"/>
  </r>
  <r>
    <s v="TX502400"/>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4FB119-B883-4FBE-BE92-CE292AE3DCD3}" name="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0:C24"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dataFields>
  <chartFormats count="2">
    <chartFormat chart="13" format="5" series="1">
      <pivotArea type="data" outline="0" fieldPosition="0">
        <references count="1">
          <reference field="4294967294" count="1" selected="0">
            <x v="1"/>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6E1598-F1E5-4D57-BF51-98DFBF766C45}" name="pie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H43:I48"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35">
    <chartFormat chart="0" format="368"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9" series="1">
      <pivotArea type="data" outline="0" fieldPosition="0">
        <references count="2">
          <reference field="4294967294" count="1" selected="0">
            <x v="0"/>
          </reference>
          <reference field="14" count="1" selected="0">
            <x v="1"/>
          </reference>
        </references>
      </pivotArea>
    </chartFormat>
    <chartFormat chart="2" format="10" series="1">
      <pivotArea type="data" outline="0" fieldPosition="0">
        <references count="2">
          <reference field="4294967294" count="1" selected="0">
            <x v="0"/>
          </reference>
          <reference field="14" count="1" selected="0">
            <x v="2"/>
          </reference>
        </references>
      </pivotArea>
    </chartFormat>
    <chartFormat chart="2" format="11" series="1">
      <pivotArea type="data" outline="0" fieldPosition="0">
        <references count="2">
          <reference field="4294967294" count="1" selected="0">
            <x v="0"/>
          </reference>
          <reference field="14" count="1" selected="0">
            <x v="3"/>
          </reference>
        </references>
      </pivotArea>
    </chartFormat>
    <chartFormat chart="0" format="375" series="1">
      <pivotArea type="data" outline="0" fieldPosition="0">
        <references count="2">
          <reference field="4294967294" count="1" selected="0">
            <x v="0"/>
          </reference>
          <reference field="14" count="1" selected="0">
            <x v="1"/>
          </reference>
        </references>
      </pivotArea>
    </chartFormat>
    <chartFormat chart="0" format="376" series="1">
      <pivotArea type="data" outline="0" fieldPosition="0">
        <references count="2">
          <reference field="4294967294" count="1" selected="0">
            <x v="0"/>
          </reference>
          <reference field="14" count="1" selected="0">
            <x v="2"/>
          </reference>
        </references>
      </pivotArea>
    </chartFormat>
    <chartFormat chart="0" format="377" series="1">
      <pivotArea type="data" outline="0" fieldPosition="0">
        <references count="2">
          <reference field="4294967294" count="1" selected="0">
            <x v="0"/>
          </reference>
          <reference field="14" count="1" selected="0">
            <x v="3"/>
          </reference>
        </references>
      </pivotArea>
    </chartFormat>
    <chartFormat chart="41" format="0" series="1">
      <pivotArea type="data" outline="0" fieldPosition="0">
        <references count="2">
          <reference field="4294967294" count="1" selected="0">
            <x v="0"/>
          </reference>
          <reference field="14" count="1" selected="0">
            <x v="0"/>
          </reference>
        </references>
      </pivotArea>
    </chartFormat>
    <chartFormat chart="41" format="1" series="1">
      <pivotArea type="data" outline="0" fieldPosition="0">
        <references count="2">
          <reference field="4294967294" count="1" selected="0">
            <x v="0"/>
          </reference>
          <reference field="14" count="1" selected="0">
            <x v="1"/>
          </reference>
        </references>
      </pivotArea>
    </chartFormat>
    <chartFormat chart="41" format="2" series="1">
      <pivotArea type="data" outline="0" fieldPosition="0">
        <references count="2">
          <reference field="4294967294" count="1" selected="0">
            <x v="0"/>
          </reference>
          <reference field="14" count="1" selected="0">
            <x v="2"/>
          </reference>
        </references>
      </pivotArea>
    </chartFormat>
    <chartFormat chart="41" format="3" series="1">
      <pivotArea type="data" outline="0" fieldPosition="0">
        <references count="2">
          <reference field="4294967294" count="1" selected="0">
            <x v="0"/>
          </reference>
          <reference field="14" count="1" selected="0">
            <x v="3"/>
          </reference>
        </references>
      </pivotArea>
    </chartFormat>
    <chartFormat chart="43" format="8" series="1">
      <pivotArea type="data" outline="0" fieldPosition="0">
        <references count="2">
          <reference field="4294967294" count="1" selected="0">
            <x v="0"/>
          </reference>
          <reference field="14" count="1" selected="0">
            <x v="0"/>
          </reference>
        </references>
      </pivotArea>
    </chartFormat>
    <chartFormat chart="43" format="9" series="1">
      <pivotArea type="data" outline="0" fieldPosition="0">
        <references count="2">
          <reference field="4294967294" count="1" selected="0">
            <x v="0"/>
          </reference>
          <reference field="14" count="1" selected="0">
            <x v="1"/>
          </reference>
        </references>
      </pivotArea>
    </chartFormat>
    <chartFormat chart="43" format="10" series="1">
      <pivotArea type="data" outline="0" fieldPosition="0">
        <references count="2">
          <reference field="4294967294" count="1" selected="0">
            <x v="0"/>
          </reference>
          <reference field="14" count="1" selected="0">
            <x v="2"/>
          </reference>
        </references>
      </pivotArea>
    </chartFormat>
    <chartFormat chart="43" format="11" series="1">
      <pivotArea type="data" outline="0" fieldPosition="0">
        <references count="2">
          <reference field="4294967294" count="1" selected="0">
            <x v="0"/>
          </reference>
          <reference field="14" count="1" selected="0">
            <x v="3"/>
          </reference>
        </references>
      </pivotArea>
    </chartFormat>
    <chartFormat chart="46" format="16" series="1">
      <pivotArea type="data" outline="0" fieldPosition="0">
        <references count="2">
          <reference field="4294967294" count="1" selected="0">
            <x v="0"/>
          </reference>
          <reference field="14" count="1" selected="0">
            <x v="0"/>
          </reference>
        </references>
      </pivotArea>
    </chartFormat>
    <chartFormat chart="46" format="17" series="1">
      <pivotArea type="data" outline="0" fieldPosition="0">
        <references count="2">
          <reference field="4294967294" count="1" selected="0">
            <x v="0"/>
          </reference>
          <reference field="14" count="1" selected="0">
            <x v="1"/>
          </reference>
        </references>
      </pivotArea>
    </chartFormat>
    <chartFormat chart="46" format="18" series="1">
      <pivotArea type="data" outline="0" fieldPosition="0">
        <references count="2">
          <reference field="4294967294" count="1" selected="0">
            <x v="0"/>
          </reference>
          <reference field="14" count="1" selected="0">
            <x v="2"/>
          </reference>
        </references>
      </pivotArea>
    </chartFormat>
    <chartFormat chart="46" format="19" series="1">
      <pivotArea type="data" outline="0" fieldPosition="0">
        <references count="2">
          <reference field="4294967294" count="1" selected="0">
            <x v="0"/>
          </reference>
          <reference field="14" count="1" selected="0">
            <x v="3"/>
          </reference>
        </references>
      </pivotArea>
    </chartFormat>
    <chartFormat chart="56" format="0" series="1">
      <pivotArea type="data" outline="0" fieldPosition="0">
        <references count="1">
          <reference field="4294967294" count="1" selected="0">
            <x v="0"/>
          </reference>
        </references>
      </pivotArea>
    </chartFormat>
    <chartFormat chart="56" format="1">
      <pivotArea type="data" outline="0" fieldPosition="0">
        <references count="2">
          <reference field="4294967294" count="1" selected="0">
            <x v="0"/>
          </reference>
          <reference field="14" count="1" selected="0">
            <x v="0"/>
          </reference>
        </references>
      </pivotArea>
    </chartFormat>
    <chartFormat chart="56" format="2">
      <pivotArea type="data" outline="0" fieldPosition="0">
        <references count="2">
          <reference field="4294967294" count="1" selected="0">
            <x v="0"/>
          </reference>
          <reference field="14" count="1" selected="0">
            <x v="3"/>
          </reference>
        </references>
      </pivotArea>
    </chartFormat>
    <chartFormat chart="56" format="3">
      <pivotArea type="data" outline="0" fieldPosition="0">
        <references count="2">
          <reference field="4294967294" count="1" selected="0">
            <x v="0"/>
          </reference>
          <reference field="14" count="1" selected="0">
            <x v="2"/>
          </reference>
        </references>
      </pivotArea>
    </chartFormat>
    <chartFormat chart="56" format="4">
      <pivotArea type="data" outline="0" fieldPosition="0">
        <references count="2">
          <reference field="4294967294" count="1" selected="0">
            <x v="0"/>
          </reference>
          <reference field="14" count="1" selected="0">
            <x v="1"/>
          </reference>
        </references>
      </pivotArea>
    </chartFormat>
    <chartFormat chart="58" format="5" series="1">
      <pivotArea type="data" outline="0" fieldPosition="0">
        <references count="1">
          <reference field="4294967294" count="1" selected="0">
            <x v="0"/>
          </reference>
        </references>
      </pivotArea>
    </chartFormat>
    <chartFormat chart="58" format="6">
      <pivotArea type="data" outline="0" fieldPosition="0">
        <references count="2">
          <reference field="4294967294" count="1" selected="0">
            <x v="0"/>
          </reference>
          <reference field="14" count="1" selected="0">
            <x v="0"/>
          </reference>
        </references>
      </pivotArea>
    </chartFormat>
    <chartFormat chart="58" format="7">
      <pivotArea type="data" outline="0" fieldPosition="0">
        <references count="2">
          <reference field="4294967294" count="1" selected="0">
            <x v="0"/>
          </reference>
          <reference field="14" count="1" selected="0">
            <x v="1"/>
          </reference>
        </references>
      </pivotArea>
    </chartFormat>
    <chartFormat chart="58" format="8">
      <pivotArea type="data" outline="0" fieldPosition="0">
        <references count="2">
          <reference field="4294967294" count="1" selected="0">
            <x v="0"/>
          </reference>
          <reference field="14" count="1" selected="0">
            <x v="2"/>
          </reference>
        </references>
      </pivotArea>
    </chartFormat>
    <chartFormat chart="58" format="9">
      <pivotArea type="data" outline="0" fieldPosition="0">
        <references count="2">
          <reference field="4294967294" count="1" selected="0">
            <x v="0"/>
          </reference>
          <reference field="14" count="1" selected="0">
            <x v="3"/>
          </reference>
        </references>
      </pivotArea>
    </chartFormat>
    <chartFormat chart="60" format="10" series="1">
      <pivotArea type="data" outline="0" fieldPosition="0">
        <references count="1">
          <reference field="4294967294" count="1" selected="0">
            <x v="0"/>
          </reference>
        </references>
      </pivotArea>
    </chartFormat>
    <chartFormat chart="60" format="11">
      <pivotArea type="data" outline="0" fieldPosition="0">
        <references count="2">
          <reference field="4294967294" count="1" selected="0">
            <x v="0"/>
          </reference>
          <reference field="14" count="1" selected="0">
            <x v="0"/>
          </reference>
        </references>
      </pivotArea>
    </chartFormat>
    <chartFormat chart="60" format="12">
      <pivotArea type="data" outline="0" fieldPosition="0">
        <references count="2">
          <reference field="4294967294" count="1" selected="0">
            <x v="0"/>
          </reference>
          <reference field="14" count="1" selected="0">
            <x v="1"/>
          </reference>
        </references>
      </pivotArea>
    </chartFormat>
    <chartFormat chart="60" format="13">
      <pivotArea type="data" outline="0" fieldPosition="0">
        <references count="2">
          <reference field="4294967294" count="1" selected="0">
            <x v="0"/>
          </reference>
          <reference field="14" count="1" selected="0">
            <x v="2"/>
          </reference>
        </references>
      </pivotArea>
    </chartFormat>
    <chartFormat chart="60"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BC8478-8D10-4ED1-9782-EBF84BFD98F9}"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F141:L146"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26" format="13" series="1">
      <pivotArea type="data" outline="0" fieldPosition="0">
        <references count="2">
          <reference field="4294967294" count="1" selected="0">
            <x v="0"/>
          </reference>
          <reference field="9" count="1" selected="0">
            <x v="0"/>
          </reference>
        </references>
      </pivotArea>
    </chartFormat>
    <chartFormat chart="26" format="14" series="1">
      <pivotArea type="data" outline="0" fieldPosition="0">
        <references count="2">
          <reference field="4294967294" count="1" selected="0">
            <x v="0"/>
          </reference>
          <reference field="9" count="1" selected="0">
            <x v="1"/>
          </reference>
        </references>
      </pivotArea>
    </chartFormat>
    <chartFormat chart="26" format="15" series="1">
      <pivotArea type="data" outline="0" fieldPosition="0">
        <references count="2">
          <reference field="4294967294" count="1" selected="0">
            <x v="0"/>
          </reference>
          <reference field="9" count="1" selected="0">
            <x v="2"/>
          </reference>
        </references>
      </pivotArea>
    </chartFormat>
    <chartFormat chart="26" format="16" series="1">
      <pivotArea type="data" outline="0" fieldPosition="0">
        <references count="2">
          <reference field="4294967294" count="1" selected="0">
            <x v="0"/>
          </reference>
          <reference field="9" count="1" selected="0">
            <x v="3"/>
          </reference>
        </references>
      </pivotArea>
    </chartFormat>
    <chartFormat chart="26"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2492A1-87F1-4501-805F-460B8CAA496A}" name="ship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141:C157"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7A877D-92EB-4977-8C60-D206927A69C8}" name="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Amount" fld="4" baseField="0" baseItem="1" numFmtId="164"/>
    <dataField name="Sum of Quantity" fld="2" baseField="0" baseItem="0"/>
    <dataField name="Average of Rating C" fld="9" subtotal="average" baseField="0" baseItem="1" numFmtId="2"/>
    <dataField name="Average of Days to Deliver" fld="12" subtotal="average" baseField="0"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59F5D3-BF1C-4FBA-AF18-91C565E9AB60}" name="bar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43:F6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20">
    <chartFormat chart="0" format="368"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9" series="1">
      <pivotArea type="data" outline="0" fieldPosition="0">
        <references count="2">
          <reference field="4294967294" count="1" selected="0">
            <x v="0"/>
          </reference>
          <reference field="14" count="1" selected="0">
            <x v="1"/>
          </reference>
        </references>
      </pivotArea>
    </chartFormat>
    <chartFormat chart="2" format="10" series="1">
      <pivotArea type="data" outline="0" fieldPosition="0">
        <references count="2">
          <reference field="4294967294" count="1" selected="0">
            <x v="0"/>
          </reference>
          <reference field="14" count="1" selected="0">
            <x v="2"/>
          </reference>
        </references>
      </pivotArea>
    </chartFormat>
    <chartFormat chart="2" format="11" series="1">
      <pivotArea type="data" outline="0" fieldPosition="0">
        <references count="2">
          <reference field="4294967294" count="1" selected="0">
            <x v="0"/>
          </reference>
          <reference field="14" count="1" selected="0">
            <x v="3"/>
          </reference>
        </references>
      </pivotArea>
    </chartFormat>
    <chartFormat chart="0" format="375" series="1">
      <pivotArea type="data" outline="0" fieldPosition="0">
        <references count="2">
          <reference field="4294967294" count="1" selected="0">
            <x v="0"/>
          </reference>
          <reference field="14" count="1" selected="0">
            <x v="1"/>
          </reference>
        </references>
      </pivotArea>
    </chartFormat>
    <chartFormat chart="0" format="376" series="1">
      <pivotArea type="data" outline="0" fieldPosition="0">
        <references count="2">
          <reference field="4294967294" count="1" selected="0">
            <x v="0"/>
          </reference>
          <reference field="14" count="1" selected="0">
            <x v="2"/>
          </reference>
        </references>
      </pivotArea>
    </chartFormat>
    <chartFormat chart="0" format="377" series="1">
      <pivotArea type="data" outline="0" fieldPosition="0">
        <references count="2">
          <reference field="4294967294" count="1" selected="0">
            <x v="0"/>
          </reference>
          <reference field="14" count="1" selected="0">
            <x v="3"/>
          </reference>
        </references>
      </pivotArea>
    </chartFormat>
    <chartFormat chart="41" format="0" series="1">
      <pivotArea type="data" outline="0" fieldPosition="0">
        <references count="2">
          <reference field="4294967294" count="1" selected="0">
            <x v="0"/>
          </reference>
          <reference field="14" count="1" selected="0">
            <x v="0"/>
          </reference>
        </references>
      </pivotArea>
    </chartFormat>
    <chartFormat chart="41" format="1" series="1">
      <pivotArea type="data" outline="0" fieldPosition="0">
        <references count="2">
          <reference field="4294967294" count="1" selected="0">
            <x v="0"/>
          </reference>
          <reference field="14" count="1" selected="0">
            <x v="1"/>
          </reference>
        </references>
      </pivotArea>
    </chartFormat>
    <chartFormat chart="41" format="2" series="1">
      <pivotArea type="data" outline="0" fieldPosition="0">
        <references count="2">
          <reference field="4294967294" count="1" selected="0">
            <x v="0"/>
          </reference>
          <reference field="14" count="1" selected="0">
            <x v="2"/>
          </reference>
        </references>
      </pivotArea>
    </chartFormat>
    <chartFormat chart="41" format="3" series="1">
      <pivotArea type="data" outline="0" fieldPosition="0">
        <references count="2">
          <reference field="4294967294" count="1" selected="0">
            <x v="0"/>
          </reference>
          <reference field="14" count="1" selected="0">
            <x v="3"/>
          </reference>
        </references>
      </pivotArea>
    </chartFormat>
    <chartFormat chart="43" format="8" series="1">
      <pivotArea type="data" outline="0" fieldPosition="0">
        <references count="2">
          <reference field="4294967294" count="1" selected="0">
            <x v="0"/>
          </reference>
          <reference field="14" count="1" selected="0">
            <x v="0"/>
          </reference>
        </references>
      </pivotArea>
    </chartFormat>
    <chartFormat chart="43" format="9" series="1">
      <pivotArea type="data" outline="0" fieldPosition="0">
        <references count="2">
          <reference field="4294967294" count="1" selected="0">
            <x v="0"/>
          </reference>
          <reference field="14" count="1" selected="0">
            <x v="1"/>
          </reference>
        </references>
      </pivotArea>
    </chartFormat>
    <chartFormat chart="43" format="10" series="1">
      <pivotArea type="data" outline="0" fieldPosition="0">
        <references count="2">
          <reference field="4294967294" count="1" selected="0">
            <x v="0"/>
          </reference>
          <reference field="14" count="1" selected="0">
            <x v="2"/>
          </reference>
        </references>
      </pivotArea>
    </chartFormat>
    <chartFormat chart="43" format="11" series="1">
      <pivotArea type="data" outline="0" fieldPosition="0">
        <references count="2">
          <reference field="4294967294" count="1" selected="0">
            <x v="0"/>
          </reference>
          <reference field="14" count="1" selected="0">
            <x v="3"/>
          </reference>
        </references>
      </pivotArea>
    </chartFormat>
    <chartFormat chart="46" format="16" series="1">
      <pivotArea type="data" outline="0" fieldPosition="0">
        <references count="2">
          <reference field="4294967294" count="1" selected="0">
            <x v="0"/>
          </reference>
          <reference field="14" count="1" selected="0">
            <x v="0"/>
          </reference>
        </references>
      </pivotArea>
    </chartFormat>
    <chartFormat chart="46" format="17" series="1">
      <pivotArea type="data" outline="0" fieldPosition="0">
        <references count="2">
          <reference field="4294967294" count="1" selected="0">
            <x v="0"/>
          </reference>
          <reference field="14" count="1" selected="0">
            <x v="1"/>
          </reference>
        </references>
      </pivotArea>
    </chartFormat>
    <chartFormat chart="46" format="18" series="1">
      <pivotArea type="data" outline="0" fieldPosition="0">
        <references count="2">
          <reference field="4294967294" count="1" selected="0">
            <x v="0"/>
          </reference>
          <reference field="14" count="1" selected="0">
            <x v="2"/>
          </reference>
        </references>
      </pivotArea>
    </chartFormat>
    <chartFormat chart="46" format="19"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6FCE1E-95AF-4290-B3A1-1FE10BAD6004}" name="ma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74:D132"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items count="4">
        <item x="0"/>
        <item x="2"/>
        <item x="1"/>
        <item x="3"/>
      </items>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F3EB9A-5D10-4494-ADE8-FB5E10B49A1E}" name="barchart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0:C38" firstHeaderRow="1" firstDataRow="1" firstDataCol="1"/>
  <pivotFields count="18">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577913-9ACC-492B-948D-E9634335EEA5}" name="gnederOr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BB047DDF-475F-42B2-A46B-38408EAA45ED}" sourceName="Gender Value">
  <pivotTables>
    <pivotTable tabId="5" name="rating"/>
    <pivotTable tabId="5" name="barchart1"/>
    <pivotTable tabId="5" name="map"/>
    <pivotTable tabId="5" name="shipment"/>
    <pivotTable tabId="5" name="summary"/>
    <pivotTable tabId="5" name="trend"/>
  </pivotTables>
  <data>
    <tabular pivotCacheId="1700194526">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FB0B21E3-4C71-45B2-916A-0E9402710001}" sourceName="Order Mode">
  <pivotTables>
    <pivotTable tabId="5" name="rating"/>
    <pivotTable tabId="5" name="barchart"/>
    <pivotTable tabId="5" name="barchart1"/>
    <pivotTable tabId="5" name="piechart"/>
    <pivotTable tabId="5" name="map"/>
    <pivotTable tabId="5" name="shipment"/>
    <pivotTable tabId="5" name="summary"/>
    <pivotTable tabId="5" name="trend"/>
  </pivotTables>
  <data>
    <tabular pivotCacheId="1700194526">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F3D746F2-A8DA-45F6-9F16-33F3A4E85282}" cache="Slicer_Gender_Value" caption="Gender Value" style="SlicerStyleLight5" rowHeight="251883"/>
  <slicer name="Order Mode" xr10:uid="{6C2A5128-CA87-49A4-9C18-895C0C1D1E21}" cache="Slicer_Order_Mode" caption="Order Mode" style="SlicerStyleLight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3D16E-A1E4-4CD3-92AA-3B096CFB9339}">
  <dimension ref="A3:N157"/>
  <sheetViews>
    <sheetView topLeftCell="A70" zoomScale="84" workbookViewId="0">
      <selection activeCell="A74" sqref="A74"/>
    </sheetView>
  </sheetViews>
  <sheetFormatPr defaultRowHeight="14.5" x14ac:dyDescent="0.35"/>
  <cols>
    <col min="1" max="1" width="13.26953125" bestFit="1" customWidth="1"/>
    <col min="2" max="2" width="14.453125" bestFit="1" customWidth="1"/>
    <col min="3" max="3" width="13.81640625" bestFit="1" customWidth="1"/>
    <col min="4" max="4" width="17.26953125" bestFit="1" customWidth="1"/>
    <col min="5" max="5" width="23" bestFit="1" customWidth="1"/>
    <col min="6" max="6" width="13.26953125" bestFit="1" customWidth="1"/>
    <col min="7" max="7" width="16.36328125" bestFit="1" customWidth="1"/>
    <col min="8" max="9" width="4.1796875" bestFit="1" customWidth="1"/>
    <col min="10" max="10" width="5.26953125" bestFit="1" customWidth="1"/>
    <col min="11" max="11" width="4.1796875" bestFit="1" customWidth="1"/>
    <col min="12" max="12" width="10.54296875" bestFit="1" customWidth="1"/>
    <col min="13" max="15" width="7.81640625" bestFit="1" customWidth="1"/>
    <col min="16" max="37" width="8.81640625" bestFit="1" customWidth="1"/>
    <col min="38" max="46" width="8.1796875" bestFit="1" customWidth="1"/>
    <col min="47" max="65" width="9.1796875" bestFit="1" customWidth="1"/>
    <col min="66" max="74" width="8.1796875" bestFit="1" customWidth="1"/>
    <col min="75" max="94" width="9.1796875" bestFit="1" customWidth="1"/>
    <col min="95" max="95" width="10.36328125" bestFit="1" customWidth="1"/>
    <col min="96" max="96" width="13.81640625" bestFit="1" customWidth="1"/>
    <col min="97" max="97" width="16.6328125" bestFit="1" customWidth="1"/>
    <col min="98" max="100" width="10.36328125" bestFit="1" customWidth="1"/>
    <col min="101" max="101" width="4.81640625" bestFit="1" customWidth="1"/>
    <col min="102" max="102" width="6.81640625" bestFit="1" customWidth="1"/>
    <col min="103" max="103" width="4.81640625" bestFit="1" customWidth="1"/>
    <col min="104" max="104" width="8.81640625" bestFit="1" customWidth="1"/>
    <col min="105" max="106" width="5.81640625" bestFit="1" customWidth="1"/>
    <col min="107" max="108" width="6.81640625" bestFit="1" customWidth="1"/>
    <col min="109" max="109" width="3.81640625" bestFit="1" customWidth="1"/>
    <col min="110" max="112" width="6.81640625" bestFit="1" customWidth="1"/>
    <col min="113" max="113" width="5.81640625" bestFit="1" customWidth="1"/>
    <col min="114" max="114" width="3.81640625" bestFit="1" customWidth="1"/>
    <col min="115" max="117" width="5.81640625" bestFit="1" customWidth="1"/>
    <col min="118" max="118" width="3.81640625" bestFit="1" customWidth="1"/>
    <col min="119" max="119" width="5.81640625" bestFit="1" customWidth="1"/>
    <col min="120" max="120" width="7.81640625" bestFit="1" customWidth="1"/>
    <col min="121" max="121" width="10.36328125" bestFit="1" customWidth="1"/>
  </cols>
  <sheetData>
    <row r="3" spans="1:11" x14ac:dyDescent="0.35">
      <c r="A3" t="s">
        <v>2522</v>
      </c>
      <c r="B3" t="s">
        <v>2518</v>
      </c>
      <c r="C3" t="s">
        <v>2519</v>
      </c>
      <c r="D3" t="s">
        <v>2520</v>
      </c>
      <c r="E3" t="s">
        <v>2521</v>
      </c>
      <c r="G3" t="s">
        <v>2527</v>
      </c>
      <c r="H3" t="s">
        <v>2528</v>
      </c>
      <c r="I3" t="s">
        <v>2529</v>
      </c>
      <c r="J3" t="s">
        <v>2530</v>
      </c>
      <c r="K3" t="s">
        <v>2531</v>
      </c>
    </row>
    <row r="4" spans="1:11" x14ac:dyDescent="0.35">
      <c r="A4">
        <v>2400</v>
      </c>
      <c r="B4" s="5">
        <v>649019.80000000144</v>
      </c>
      <c r="C4">
        <v>11997</v>
      </c>
      <c r="D4" s="6">
        <v>3.9620833333333332</v>
      </c>
      <c r="E4" s="6">
        <v>2.3424999999999998</v>
      </c>
      <c r="G4">
        <v>2400</v>
      </c>
      <c r="H4" s="20">
        <v>649019.80000000098</v>
      </c>
      <c r="I4">
        <v>11997</v>
      </c>
      <c r="J4" s="7">
        <v>3.9620833333333301</v>
      </c>
      <c r="K4" s="7">
        <v>2.3424999999999998</v>
      </c>
    </row>
    <row r="10" spans="1:11" x14ac:dyDescent="0.35">
      <c r="A10" s="8" t="s">
        <v>2532</v>
      </c>
      <c r="B10" t="s">
        <v>2519</v>
      </c>
      <c r="C10" t="s">
        <v>2518</v>
      </c>
    </row>
    <row r="11" spans="1:11" x14ac:dyDescent="0.35">
      <c r="A11" s="9">
        <v>1</v>
      </c>
      <c r="B11">
        <v>546</v>
      </c>
      <c r="C11">
        <v>32413.300000000003</v>
      </c>
    </row>
    <row r="12" spans="1:11" x14ac:dyDescent="0.35">
      <c r="A12" s="9">
        <v>2</v>
      </c>
      <c r="B12">
        <v>905</v>
      </c>
      <c r="C12">
        <v>49562.999999999993</v>
      </c>
    </row>
    <row r="13" spans="1:11" x14ac:dyDescent="0.35">
      <c r="A13" s="9">
        <v>3</v>
      </c>
      <c r="B13">
        <v>796</v>
      </c>
      <c r="C13">
        <v>41700.400000000016</v>
      </c>
    </row>
    <row r="14" spans="1:11" x14ac:dyDescent="0.35">
      <c r="A14" s="9">
        <v>4</v>
      </c>
      <c r="B14">
        <v>913</v>
      </c>
      <c r="C14">
        <v>46782.599999999984</v>
      </c>
    </row>
    <row r="15" spans="1:11" x14ac:dyDescent="0.35">
      <c r="A15" s="9">
        <v>5</v>
      </c>
      <c r="B15">
        <v>844</v>
      </c>
      <c r="C15">
        <v>42676.100000000006</v>
      </c>
    </row>
    <row r="16" spans="1:11" x14ac:dyDescent="0.35">
      <c r="A16" s="9">
        <v>6</v>
      </c>
      <c r="B16">
        <v>1202</v>
      </c>
      <c r="C16">
        <v>62910.7</v>
      </c>
    </row>
    <row r="17" spans="1:3" x14ac:dyDescent="0.35">
      <c r="A17" s="9">
        <v>7</v>
      </c>
      <c r="B17">
        <v>935</v>
      </c>
      <c r="C17">
        <v>50332.200000000004</v>
      </c>
    </row>
    <row r="18" spans="1:3" x14ac:dyDescent="0.35">
      <c r="A18" s="9">
        <v>8</v>
      </c>
      <c r="B18">
        <v>1128</v>
      </c>
      <c r="C18">
        <v>58760.599999999977</v>
      </c>
    </row>
    <row r="19" spans="1:3" x14ac:dyDescent="0.35">
      <c r="A19" s="9">
        <v>9</v>
      </c>
      <c r="B19">
        <v>1007</v>
      </c>
      <c r="C19">
        <v>52017.299999999996</v>
      </c>
    </row>
    <row r="20" spans="1:3" x14ac:dyDescent="0.35">
      <c r="A20" s="9">
        <v>10</v>
      </c>
      <c r="B20">
        <v>1128</v>
      </c>
      <c r="C20">
        <v>64915.700000000033</v>
      </c>
    </row>
    <row r="21" spans="1:3" x14ac:dyDescent="0.35">
      <c r="A21" s="9">
        <v>11</v>
      </c>
      <c r="B21">
        <v>861</v>
      </c>
      <c r="C21">
        <v>45943.80000000001</v>
      </c>
    </row>
    <row r="22" spans="1:3" x14ac:dyDescent="0.35">
      <c r="A22" s="9">
        <v>12</v>
      </c>
      <c r="B22">
        <v>944</v>
      </c>
      <c r="C22">
        <v>55077.900000000031</v>
      </c>
    </row>
    <row r="23" spans="1:3" x14ac:dyDescent="0.35">
      <c r="A23" s="9">
        <v>13</v>
      </c>
      <c r="B23">
        <v>788</v>
      </c>
      <c r="C23">
        <v>45926.19999999999</v>
      </c>
    </row>
    <row r="24" spans="1:3" x14ac:dyDescent="0.35">
      <c r="A24" s="9" t="s">
        <v>2533</v>
      </c>
      <c r="B24">
        <v>11997</v>
      </c>
      <c r="C24">
        <v>649019.79999999993</v>
      </c>
    </row>
    <row r="30" spans="1:3" x14ac:dyDescent="0.35">
      <c r="B30" s="8" t="s">
        <v>2532</v>
      </c>
      <c r="C30" t="s">
        <v>2522</v>
      </c>
    </row>
    <row r="31" spans="1:3" x14ac:dyDescent="0.35">
      <c r="B31" s="9">
        <v>1</v>
      </c>
      <c r="C31">
        <v>397</v>
      </c>
    </row>
    <row r="32" spans="1:3" x14ac:dyDescent="0.35">
      <c r="B32" s="9">
        <v>2</v>
      </c>
      <c r="C32">
        <v>540</v>
      </c>
    </row>
    <row r="33" spans="1:9" x14ac:dyDescent="0.35">
      <c r="B33" s="9">
        <v>3</v>
      </c>
      <c r="C33">
        <v>375</v>
      </c>
    </row>
    <row r="34" spans="1:9" x14ac:dyDescent="0.35">
      <c r="B34" s="9">
        <v>4</v>
      </c>
      <c r="C34">
        <v>246</v>
      </c>
    </row>
    <row r="35" spans="1:9" x14ac:dyDescent="0.35">
      <c r="B35" s="9">
        <v>5</v>
      </c>
      <c r="C35">
        <v>195</v>
      </c>
    </row>
    <row r="36" spans="1:9" x14ac:dyDescent="0.35">
      <c r="B36" s="9" t="s">
        <v>2535</v>
      </c>
      <c r="C36">
        <v>414</v>
      </c>
    </row>
    <row r="37" spans="1:9" x14ac:dyDescent="0.35">
      <c r="B37" s="9" t="s">
        <v>2536</v>
      </c>
      <c r="C37">
        <v>233</v>
      </c>
    </row>
    <row r="38" spans="1:9" x14ac:dyDescent="0.35">
      <c r="B38" s="9" t="s">
        <v>2533</v>
      </c>
      <c r="C38">
        <v>2400</v>
      </c>
    </row>
    <row r="43" spans="1:9" x14ac:dyDescent="0.35">
      <c r="A43" s="8" t="s">
        <v>2519</v>
      </c>
      <c r="B43" s="8" t="s">
        <v>2534</v>
      </c>
      <c r="H43" s="8" t="s">
        <v>2532</v>
      </c>
      <c r="I43" t="s">
        <v>2519</v>
      </c>
    </row>
    <row r="44" spans="1:9" x14ac:dyDescent="0.35">
      <c r="A44" s="8" t="s">
        <v>2532</v>
      </c>
      <c r="B44" t="s">
        <v>2525</v>
      </c>
      <c r="C44" t="s">
        <v>2524</v>
      </c>
      <c r="D44" t="s">
        <v>2526</v>
      </c>
      <c r="E44" t="s">
        <v>2523</v>
      </c>
      <c r="F44" t="s">
        <v>2533</v>
      </c>
      <c r="H44" s="9" t="s">
        <v>2525</v>
      </c>
      <c r="I44">
        <v>6272</v>
      </c>
    </row>
    <row r="45" spans="1:9" x14ac:dyDescent="0.35">
      <c r="A45" s="9" t="s">
        <v>44</v>
      </c>
      <c r="B45">
        <v>744</v>
      </c>
      <c r="C45">
        <v>713</v>
      </c>
      <c r="D45">
        <v>90</v>
      </c>
      <c r="E45">
        <v>98</v>
      </c>
      <c r="F45">
        <v>1645</v>
      </c>
      <c r="H45" s="9" t="s">
        <v>2524</v>
      </c>
      <c r="I45">
        <v>4672</v>
      </c>
    </row>
    <row r="46" spans="1:9" x14ac:dyDescent="0.35">
      <c r="A46" s="9" t="s">
        <v>39</v>
      </c>
      <c r="B46">
        <v>716</v>
      </c>
      <c r="C46">
        <v>598</v>
      </c>
      <c r="D46">
        <v>18</v>
      </c>
      <c r="E46">
        <v>214</v>
      </c>
      <c r="F46">
        <v>1546</v>
      </c>
      <c r="H46" s="9" t="s">
        <v>2526</v>
      </c>
      <c r="I46">
        <v>317</v>
      </c>
    </row>
    <row r="47" spans="1:9" x14ac:dyDescent="0.35">
      <c r="A47" s="9" t="s">
        <v>26</v>
      </c>
      <c r="B47">
        <v>627</v>
      </c>
      <c r="C47">
        <v>393</v>
      </c>
      <c r="D47">
        <v>29</v>
      </c>
      <c r="E47">
        <v>137</v>
      </c>
      <c r="F47">
        <v>1186</v>
      </c>
      <c r="H47" s="9" t="s">
        <v>2523</v>
      </c>
      <c r="I47">
        <v>736</v>
      </c>
    </row>
    <row r="48" spans="1:9" x14ac:dyDescent="0.35">
      <c r="A48" s="9" t="s">
        <v>22</v>
      </c>
      <c r="B48">
        <v>568</v>
      </c>
      <c r="C48">
        <v>306</v>
      </c>
      <c r="D48">
        <v>22</v>
      </c>
      <c r="E48">
        <v>16</v>
      </c>
      <c r="F48">
        <v>912</v>
      </c>
      <c r="H48" s="9" t="s">
        <v>2533</v>
      </c>
      <c r="I48">
        <v>11997</v>
      </c>
    </row>
    <row r="49" spans="1:6" x14ac:dyDescent="0.35">
      <c r="A49" s="9" t="s">
        <v>54</v>
      </c>
      <c r="B49">
        <v>482</v>
      </c>
      <c r="C49">
        <v>295</v>
      </c>
      <c r="D49">
        <v>8</v>
      </c>
      <c r="E49">
        <v>22</v>
      </c>
      <c r="F49">
        <v>807</v>
      </c>
    </row>
    <row r="50" spans="1:6" x14ac:dyDescent="0.35">
      <c r="A50" s="9" t="s">
        <v>16</v>
      </c>
      <c r="B50">
        <v>428</v>
      </c>
      <c r="C50">
        <v>293</v>
      </c>
      <c r="E50">
        <v>24</v>
      </c>
      <c r="F50">
        <v>745</v>
      </c>
    </row>
    <row r="51" spans="1:6" x14ac:dyDescent="0.35">
      <c r="A51" s="9" t="s">
        <v>46</v>
      </c>
      <c r="B51">
        <v>445</v>
      </c>
      <c r="C51">
        <v>202</v>
      </c>
      <c r="D51">
        <v>14</v>
      </c>
      <c r="E51">
        <v>39</v>
      </c>
      <c r="F51">
        <v>700</v>
      </c>
    </row>
    <row r="52" spans="1:6" x14ac:dyDescent="0.35">
      <c r="A52" s="9" t="s">
        <v>32</v>
      </c>
      <c r="B52">
        <v>431</v>
      </c>
      <c r="C52">
        <v>187</v>
      </c>
      <c r="D52">
        <v>14</v>
      </c>
      <c r="E52">
        <v>15</v>
      </c>
      <c r="F52">
        <v>647</v>
      </c>
    </row>
    <row r="53" spans="1:6" x14ac:dyDescent="0.35">
      <c r="A53" s="9" t="s">
        <v>42</v>
      </c>
      <c r="B53">
        <v>264</v>
      </c>
      <c r="C53">
        <v>318</v>
      </c>
      <c r="D53">
        <v>15</v>
      </c>
      <c r="E53">
        <v>9</v>
      </c>
      <c r="F53">
        <v>606</v>
      </c>
    </row>
    <row r="54" spans="1:6" x14ac:dyDescent="0.35">
      <c r="A54" s="9" t="s">
        <v>37</v>
      </c>
      <c r="B54">
        <v>296</v>
      </c>
      <c r="C54">
        <v>275</v>
      </c>
      <c r="D54">
        <v>9</v>
      </c>
      <c r="E54">
        <v>23</v>
      </c>
      <c r="F54">
        <v>603</v>
      </c>
    </row>
    <row r="55" spans="1:6" x14ac:dyDescent="0.35">
      <c r="A55" s="9" t="s">
        <v>123</v>
      </c>
      <c r="B55">
        <v>153</v>
      </c>
      <c r="C55">
        <v>246</v>
      </c>
      <c r="D55">
        <v>30</v>
      </c>
      <c r="E55">
        <v>8</v>
      </c>
      <c r="F55">
        <v>437</v>
      </c>
    </row>
    <row r="56" spans="1:6" x14ac:dyDescent="0.35">
      <c r="A56" s="9" t="s">
        <v>146</v>
      </c>
      <c r="B56">
        <v>189</v>
      </c>
      <c r="C56">
        <v>168</v>
      </c>
      <c r="D56">
        <v>10</v>
      </c>
      <c r="E56">
        <v>31</v>
      </c>
      <c r="F56">
        <v>398</v>
      </c>
    </row>
    <row r="57" spans="1:6" x14ac:dyDescent="0.35">
      <c r="A57" s="9" t="s">
        <v>69</v>
      </c>
      <c r="B57">
        <v>234</v>
      </c>
      <c r="C57">
        <v>93</v>
      </c>
      <c r="D57">
        <v>19</v>
      </c>
      <c r="E57">
        <v>24</v>
      </c>
      <c r="F57">
        <v>370</v>
      </c>
    </row>
    <row r="58" spans="1:6" x14ac:dyDescent="0.35">
      <c r="A58" s="9" t="s">
        <v>30</v>
      </c>
      <c r="B58">
        <v>146</v>
      </c>
      <c r="C58">
        <v>94</v>
      </c>
      <c r="D58">
        <v>4</v>
      </c>
      <c r="E58">
        <v>28</v>
      </c>
      <c r="F58">
        <v>272</v>
      </c>
    </row>
    <row r="59" spans="1:6" x14ac:dyDescent="0.35">
      <c r="A59" s="9" t="s">
        <v>135</v>
      </c>
      <c r="B59">
        <v>127</v>
      </c>
      <c r="C59">
        <v>118</v>
      </c>
      <c r="D59">
        <v>13</v>
      </c>
      <c r="E59">
        <v>12</v>
      </c>
      <c r="F59">
        <v>270</v>
      </c>
    </row>
    <row r="60" spans="1:6" x14ac:dyDescent="0.35">
      <c r="A60" s="9" t="s">
        <v>67</v>
      </c>
      <c r="B60">
        <v>179</v>
      </c>
      <c r="C60">
        <v>76</v>
      </c>
      <c r="D60">
        <v>3</v>
      </c>
      <c r="F60">
        <v>258</v>
      </c>
    </row>
    <row r="61" spans="1:6" x14ac:dyDescent="0.35">
      <c r="A61" s="9" t="s">
        <v>128</v>
      </c>
      <c r="B61">
        <v>99</v>
      </c>
      <c r="C61">
        <v>69</v>
      </c>
      <c r="D61">
        <v>3</v>
      </c>
      <c r="E61">
        <v>24</v>
      </c>
      <c r="F61">
        <v>195</v>
      </c>
    </row>
    <row r="62" spans="1:6" x14ac:dyDescent="0.35">
      <c r="A62" s="9" t="s">
        <v>76</v>
      </c>
      <c r="B62">
        <v>75</v>
      </c>
      <c r="C62">
        <v>103</v>
      </c>
      <c r="D62">
        <v>4</v>
      </c>
      <c r="E62">
        <v>6</v>
      </c>
      <c r="F62">
        <v>188</v>
      </c>
    </row>
    <row r="63" spans="1:6" x14ac:dyDescent="0.35">
      <c r="A63" s="9" t="s">
        <v>81</v>
      </c>
      <c r="B63">
        <v>43</v>
      </c>
      <c r="C63">
        <v>90</v>
      </c>
      <c r="D63">
        <v>8</v>
      </c>
      <c r="E63">
        <v>6</v>
      </c>
      <c r="F63">
        <v>147</v>
      </c>
    </row>
    <row r="64" spans="1:6" x14ac:dyDescent="0.35">
      <c r="A64" s="9" t="s">
        <v>171</v>
      </c>
      <c r="B64">
        <v>26</v>
      </c>
      <c r="C64">
        <v>35</v>
      </c>
      <c r="D64">
        <v>4</v>
      </c>
      <c r="F64">
        <v>65</v>
      </c>
    </row>
    <row r="65" spans="1:14" x14ac:dyDescent="0.35">
      <c r="A65" s="9" t="s">
        <v>2533</v>
      </c>
      <c r="B65">
        <v>6272</v>
      </c>
      <c r="C65">
        <v>4672</v>
      </c>
      <c r="D65">
        <v>317</v>
      </c>
      <c r="E65">
        <v>736</v>
      </c>
      <c r="F65">
        <v>11997</v>
      </c>
    </row>
    <row r="74" spans="1:14" x14ac:dyDescent="0.35">
      <c r="A74" s="8" t="s">
        <v>10</v>
      </c>
      <c r="B74" s="8" t="s">
        <v>11</v>
      </c>
      <c r="C74" t="s">
        <v>2519</v>
      </c>
      <c r="D74" t="s">
        <v>2518</v>
      </c>
    </row>
    <row r="75" spans="1:14" x14ac:dyDescent="0.35">
      <c r="A75" t="s">
        <v>19</v>
      </c>
      <c r="B75" t="s">
        <v>115</v>
      </c>
      <c r="C75">
        <v>579</v>
      </c>
      <c r="D75">
        <v>31884.999999999996</v>
      </c>
      <c r="G75" s="21" t="s">
        <v>19</v>
      </c>
      <c r="H75" t="s">
        <v>115</v>
      </c>
      <c r="I75">
        <v>579</v>
      </c>
      <c r="L75" s="21" t="s">
        <v>19</v>
      </c>
      <c r="M75" t="s">
        <v>115</v>
      </c>
      <c r="N75">
        <v>31884.999999999996</v>
      </c>
    </row>
    <row r="76" spans="1:14" x14ac:dyDescent="0.35">
      <c r="A76" t="s">
        <v>19</v>
      </c>
      <c r="B76" t="s">
        <v>20</v>
      </c>
      <c r="C76">
        <v>1</v>
      </c>
      <c r="D76">
        <v>10.9</v>
      </c>
      <c r="G76" s="21" t="s">
        <v>19</v>
      </c>
      <c r="H76" t="s">
        <v>20</v>
      </c>
      <c r="I76">
        <v>1</v>
      </c>
      <c r="L76" s="21" t="s">
        <v>19</v>
      </c>
      <c r="M76" t="s">
        <v>20</v>
      </c>
      <c r="N76">
        <v>10.9</v>
      </c>
    </row>
    <row r="77" spans="1:14" x14ac:dyDescent="0.35">
      <c r="A77" t="s">
        <v>19</v>
      </c>
      <c r="B77" t="s">
        <v>641</v>
      </c>
      <c r="C77">
        <v>9</v>
      </c>
      <c r="D77">
        <v>800.3</v>
      </c>
      <c r="G77" s="21" t="s">
        <v>19</v>
      </c>
      <c r="H77" t="s">
        <v>641</v>
      </c>
      <c r="I77">
        <v>9</v>
      </c>
      <c r="L77" s="21" t="s">
        <v>19</v>
      </c>
      <c r="M77" t="s">
        <v>641</v>
      </c>
      <c r="N77">
        <v>800.3</v>
      </c>
    </row>
    <row r="78" spans="1:14" x14ac:dyDescent="0.35">
      <c r="A78" t="s">
        <v>19</v>
      </c>
      <c r="B78" t="s">
        <v>967</v>
      </c>
      <c r="C78">
        <v>35</v>
      </c>
      <c r="D78">
        <v>1062.5999999999999</v>
      </c>
      <c r="G78" s="21" t="s">
        <v>19</v>
      </c>
      <c r="H78" t="s">
        <v>967</v>
      </c>
      <c r="I78">
        <v>35</v>
      </c>
      <c r="L78" s="21" t="s">
        <v>19</v>
      </c>
      <c r="M78" t="s">
        <v>967</v>
      </c>
      <c r="N78">
        <v>1062.5999999999999</v>
      </c>
    </row>
    <row r="79" spans="1:14" x14ac:dyDescent="0.35">
      <c r="A79" t="s">
        <v>19</v>
      </c>
      <c r="B79" t="s">
        <v>84</v>
      </c>
      <c r="C79">
        <v>12</v>
      </c>
      <c r="D79">
        <v>326.20000000000005</v>
      </c>
      <c r="G79" s="21" t="s">
        <v>19</v>
      </c>
      <c r="H79" t="s">
        <v>84</v>
      </c>
      <c r="I79">
        <v>12</v>
      </c>
      <c r="L79" s="21" t="s">
        <v>19</v>
      </c>
      <c r="M79" t="s">
        <v>84</v>
      </c>
      <c r="N79">
        <v>326.20000000000005</v>
      </c>
    </row>
    <row r="80" spans="1:14" x14ac:dyDescent="0.35">
      <c r="A80" t="s">
        <v>19</v>
      </c>
      <c r="B80" t="s">
        <v>1383</v>
      </c>
      <c r="C80">
        <v>4</v>
      </c>
      <c r="D80">
        <v>167.5</v>
      </c>
      <c r="G80" s="21" t="s">
        <v>19</v>
      </c>
      <c r="H80" t="s">
        <v>1383</v>
      </c>
      <c r="I80">
        <v>4</v>
      </c>
      <c r="L80" s="21" t="s">
        <v>19</v>
      </c>
      <c r="M80" t="s">
        <v>1383</v>
      </c>
      <c r="N80">
        <v>167.5</v>
      </c>
    </row>
    <row r="81" spans="1:14" x14ac:dyDescent="0.35">
      <c r="A81" t="s">
        <v>19</v>
      </c>
      <c r="B81" t="s">
        <v>24</v>
      </c>
      <c r="C81">
        <v>341</v>
      </c>
      <c r="D81">
        <v>16168.7</v>
      </c>
      <c r="G81" s="21" t="s">
        <v>19</v>
      </c>
      <c r="H81" t="s">
        <v>24</v>
      </c>
      <c r="I81">
        <v>341</v>
      </c>
      <c r="L81" s="21" t="s">
        <v>19</v>
      </c>
      <c r="M81" t="s">
        <v>24</v>
      </c>
      <c r="N81">
        <v>16168.7</v>
      </c>
    </row>
    <row r="82" spans="1:14" x14ac:dyDescent="0.35">
      <c r="A82" t="s">
        <v>19</v>
      </c>
      <c r="B82" t="s">
        <v>2204</v>
      </c>
      <c r="C82">
        <v>13</v>
      </c>
      <c r="D82">
        <v>322.40000000000003</v>
      </c>
      <c r="G82" s="21" t="s">
        <v>19</v>
      </c>
      <c r="H82" t="s">
        <v>2204</v>
      </c>
      <c r="I82">
        <v>13</v>
      </c>
      <c r="L82" s="21" t="s">
        <v>19</v>
      </c>
      <c r="M82" t="s">
        <v>2204</v>
      </c>
      <c r="N82">
        <v>322.40000000000003</v>
      </c>
    </row>
    <row r="83" spans="1:14" x14ac:dyDescent="0.35">
      <c r="A83" t="s">
        <v>19</v>
      </c>
      <c r="B83" t="s">
        <v>437</v>
      </c>
      <c r="C83">
        <v>31</v>
      </c>
      <c r="D83">
        <v>2092.8000000000002</v>
      </c>
      <c r="G83" s="21" t="s">
        <v>19</v>
      </c>
      <c r="H83" t="s">
        <v>437</v>
      </c>
      <c r="I83">
        <v>31</v>
      </c>
      <c r="L83" s="21" t="s">
        <v>19</v>
      </c>
      <c r="M83" t="s">
        <v>437</v>
      </c>
      <c r="N83">
        <v>2092.8000000000002</v>
      </c>
    </row>
    <row r="84" spans="1:14" x14ac:dyDescent="0.35">
      <c r="A84" t="s">
        <v>19</v>
      </c>
      <c r="B84" t="s">
        <v>28</v>
      </c>
      <c r="C84">
        <v>279</v>
      </c>
      <c r="D84">
        <v>12662.500000000002</v>
      </c>
      <c r="G84" s="21" t="s">
        <v>19</v>
      </c>
      <c r="H84" t="s">
        <v>28</v>
      </c>
      <c r="I84">
        <v>279</v>
      </c>
      <c r="L84" s="21" t="s">
        <v>19</v>
      </c>
      <c r="M84" t="s">
        <v>28</v>
      </c>
      <c r="N84">
        <v>12662.500000000002</v>
      </c>
    </row>
    <row r="85" spans="1:14" x14ac:dyDescent="0.35">
      <c r="A85" t="s">
        <v>19</v>
      </c>
      <c r="B85" t="s">
        <v>208</v>
      </c>
      <c r="C85">
        <v>9</v>
      </c>
      <c r="D85">
        <v>343.2</v>
      </c>
      <c r="G85" s="21" t="s">
        <v>19</v>
      </c>
      <c r="H85" t="s">
        <v>208</v>
      </c>
      <c r="I85">
        <v>9</v>
      </c>
      <c r="L85" s="21" t="s">
        <v>19</v>
      </c>
      <c r="M85" t="s">
        <v>208</v>
      </c>
      <c r="N85">
        <v>343.2</v>
      </c>
    </row>
    <row r="86" spans="1:14" x14ac:dyDescent="0.35">
      <c r="A86" t="s">
        <v>19</v>
      </c>
      <c r="B86" t="s">
        <v>587</v>
      </c>
      <c r="C86">
        <v>49</v>
      </c>
      <c r="D86">
        <v>2188.2999999999997</v>
      </c>
      <c r="G86" s="21" t="s">
        <v>19</v>
      </c>
      <c r="H86" t="s">
        <v>587</v>
      </c>
      <c r="I86">
        <v>49</v>
      </c>
      <c r="L86" s="21" t="s">
        <v>19</v>
      </c>
      <c r="M86" t="s">
        <v>587</v>
      </c>
      <c r="N86">
        <v>2188.2999999999997</v>
      </c>
    </row>
    <row r="87" spans="1:14" x14ac:dyDescent="0.35">
      <c r="A87" t="s">
        <v>19</v>
      </c>
      <c r="B87" t="s">
        <v>331</v>
      </c>
      <c r="C87">
        <v>59</v>
      </c>
      <c r="D87">
        <v>2661.5999999999995</v>
      </c>
      <c r="G87" s="21" t="s">
        <v>19</v>
      </c>
      <c r="H87" t="s">
        <v>331</v>
      </c>
      <c r="I87">
        <v>59</v>
      </c>
      <c r="L87" s="21" t="s">
        <v>19</v>
      </c>
      <c r="M87" t="s">
        <v>331</v>
      </c>
      <c r="N87">
        <v>2661.5999999999995</v>
      </c>
    </row>
    <row r="88" spans="1:14" x14ac:dyDescent="0.35">
      <c r="A88" t="s">
        <v>19</v>
      </c>
      <c r="B88" t="s">
        <v>86</v>
      </c>
      <c r="C88">
        <v>8</v>
      </c>
      <c r="D88">
        <v>887.5</v>
      </c>
      <c r="G88" s="21" t="s">
        <v>19</v>
      </c>
      <c r="H88" t="s">
        <v>86</v>
      </c>
      <c r="I88">
        <v>8</v>
      </c>
      <c r="L88" s="21" t="s">
        <v>19</v>
      </c>
      <c r="M88" t="s">
        <v>86</v>
      </c>
      <c r="N88">
        <v>887.5</v>
      </c>
    </row>
    <row r="89" spans="1:14" x14ac:dyDescent="0.35">
      <c r="A89" t="s">
        <v>19</v>
      </c>
      <c r="B89" t="s">
        <v>147</v>
      </c>
      <c r="C89">
        <v>222</v>
      </c>
      <c r="D89">
        <v>11354.199999999993</v>
      </c>
      <c r="G89" s="21" t="s">
        <v>19</v>
      </c>
      <c r="H89" t="s">
        <v>147</v>
      </c>
      <c r="I89">
        <v>222</v>
      </c>
      <c r="L89" s="21" t="s">
        <v>19</v>
      </c>
      <c r="M89" t="s">
        <v>147</v>
      </c>
      <c r="N89">
        <v>11354.199999999993</v>
      </c>
    </row>
    <row r="90" spans="1:14" x14ac:dyDescent="0.35">
      <c r="A90" t="s">
        <v>19</v>
      </c>
      <c r="B90" t="s">
        <v>334</v>
      </c>
      <c r="C90">
        <v>36</v>
      </c>
      <c r="D90">
        <v>1558.4</v>
      </c>
      <c r="G90" s="21" t="s">
        <v>19</v>
      </c>
      <c r="H90" t="s">
        <v>334</v>
      </c>
      <c r="I90">
        <v>36</v>
      </c>
      <c r="L90" s="21" t="s">
        <v>19</v>
      </c>
      <c r="M90" t="s">
        <v>334</v>
      </c>
      <c r="N90">
        <v>1558.4</v>
      </c>
    </row>
    <row r="91" spans="1:14" x14ac:dyDescent="0.35">
      <c r="A91" t="s">
        <v>19</v>
      </c>
      <c r="B91" t="s">
        <v>949</v>
      </c>
      <c r="C91">
        <v>30</v>
      </c>
      <c r="D91">
        <v>2223.9</v>
      </c>
      <c r="G91" s="21" t="s">
        <v>19</v>
      </c>
      <c r="H91" t="s">
        <v>949</v>
      </c>
      <c r="I91">
        <v>30</v>
      </c>
      <c r="L91" s="21" t="s">
        <v>19</v>
      </c>
      <c r="M91" t="s">
        <v>949</v>
      </c>
      <c r="N91">
        <v>2223.9</v>
      </c>
    </row>
    <row r="92" spans="1:14" x14ac:dyDescent="0.35">
      <c r="A92" t="s">
        <v>19</v>
      </c>
      <c r="B92" t="s">
        <v>1426</v>
      </c>
      <c r="C92">
        <v>1</v>
      </c>
      <c r="D92">
        <v>26.2</v>
      </c>
      <c r="G92" s="21" t="s">
        <v>19</v>
      </c>
      <c r="H92" t="s">
        <v>1426</v>
      </c>
      <c r="I92">
        <v>1</v>
      </c>
      <c r="L92" s="21" t="s">
        <v>19</v>
      </c>
      <c r="M92" t="s">
        <v>1426</v>
      </c>
      <c r="N92">
        <v>26.2</v>
      </c>
    </row>
    <row r="93" spans="1:14" x14ac:dyDescent="0.35">
      <c r="A93" t="s">
        <v>19</v>
      </c>
      <c r="B93" t="s">
        <v>33</v>
      </c>
      <c r="C93">
        <v>3991</v>
      </c>
      <c r="D93">
        <v>215551.19999999981</v>
      </c>
      <c r="G93" s="21" t="s">
        <v>19</v>
      </c>
      <c r="H93" t="s">
        <v>33</v>
      </c>
      <c r="I93">
        <v>3991</v>
      </c>
      <c r="L93" s="21" t="s">
        <v>19</v>
      </c>
      <c r="M93" t="s">
        <v>33</v>
      </c>
      <c r="N93">
        <v>215551.19999999981</v>
      </c>
    </row>
    <row r="94" spans="1:14" x14ac:dyDescent="0.35">
      <c r="A94" t="s">
        <v>19</v>
      </c>
      <c r="B94" t="s">
        <v>364</v>
      </c>
      <c r="C94">
        <v>45</v>
      </c>
      <c r="D94">
        <v>2687.3999999999996</v>
      </c>
      <c r="G94" s="21" t="s">
        <v>19</v>
      </c>
      <c r="H94" t="s">
        <v>364</v>
      </c>
      <c r="I94">
        <v>45</v>
      </c>
      <c r="L94" s="21" t="s">
        <v>19</v>
      </c>
      <c r="M94" t="s">
        <v>364</v>
      </c>
      <c r="N94">
        <v>2687.3999999999996</v>
      </c>
    </row>
    <row r="95" spans="1:14" x14ac:dyDescent="0.35">
      <c r="A95" t="s">
        <v>19</v>
      </c>
      <c r="B95" t="s">
        <v>545</v>
      </c>
      <c r="C95">
        <v>39</v>
      </c>
      <c r="D95">
        <v>1463.3000000000002</v>
      </c>
      <c r="G95" s="21" t="s">
        <v>19</v>
      </c>
      <c r="H95" t="s">
        <v>545</v>
      </c>
      <c r="I95">
        <v>39</v>
      </c>
      <c r="L95" s="21" t="s">
        <v>19</v>
      </c>
      <c r="M95" t="s">
        <v>545</v>
      </c>
      <c r="N95">
        <v>1463.3000000000002</v>
      </c>
    </row>
    <row r="96" spans="1:14" x14ac:dyDescent="0.35">
      <c r="A96" t="s">
        <v>19</v>
      </c>
      <c r="B96" t="s">
        <v>416</v>
      </c>
      <c r="C96">
        <v>6</v>
      </c>
      <c r="D96">
        <v>445.79999999999995</v>
      </c>
      <c r="G96" s="21" t="s">
        <v>19</v>
      </c>
      <c r="H96" t="s">
        <v>416</v>
      </c>
      <c r="I96">
        <v>6</v>
      </c>
      <c r="L96" s="21" t="s">
        <v>19</v>
      </c>
      <c r="M96" t="s">
        <v>416</v>
      </c>
      <c r="N96">
        <v>445.79999999999995</v>
      </c>
    </row>
    <row r="97" spans="1:14" x14ac:dyDescent="0.35">
      <c r="A97" t="s">
        <v>19</v>
      </c>
      <c r="B97" t="s">
        <v>258</v>
      </c>
      <c r="C97">
        <v>9</v>
      </c>
      <c r="D97">
        <v>273.59999999999997</v>
      </c>
      <c r="G97" s="21" t="s">
        <v>19</v>
      </c>
      <c r="H97" t="s">
        <v>258</v>
      </c>
      <c r="I97">
        <v>9</v>
      </c>
      <c r="L97" s="21" t="s">
        <v>19</v>
      </c>
      <c r="M97" t="s">
        <v>258</v>
      </c>
      <c r="N97">
        <v>273.59999999999997</v>
      </c>
    </row>
    <row r="98" spans="1:14" x14ac:dyDescent="0.35">
      <c r="A98" t="s">
        <v>19</v>
      </c>
      <c r="B98" t="s">
        <v>186</v>
      </c>
      <c r="C98">
        <v>60</v>
      </c>
      <c r="D98">
        <v>2690.4</v>
      </c>
      <c r="G98" s="21" t="s">
        <v>19</v>
      </c>
      <c r="H98" t="s">
        <v>186</v>
      </c>
      <c r="I98">
        <v>60</v>
      </c>
      <c r="L98" s="21" t="s">
        <v>19</v>
      </c>
      <c r="M98" t="s">
        <v>186</v>
      </c>
      <c r="N98">
        <v>2690.4</v>
      </c>
    </row>
    <row r="99" spans="1:14" x14ac:dyDescent="0.35">
      <c r="A99" t="s">
        <v>19</v>
      </c>
      <c r="B99" t="s">
        <v>392</v>
      </c>
      <c r="C99">
        <v>2</v>
      </c>
      <c r="D99">
        <v>28.4</v>
      </c>
      <c r="G99" s="21" t="s">
        <v>19</v>
      </c>
      <c r="H99" t="s">
        <v>392</v>
      </c>
      <c r="I99">
        <v>2</v>
      </c>
      <c r="L99" s="21" t="s">
        <v>19</v>
      </c>
      <c r="M99" t="s">
        <v>392</v>
      </c>
      <c r="N99">
        <v>28.4</v>
      </c>
    </row>
    <row r="100" spans="1:14" x14ac:dyDescent="0.35">
      <c r="A100" t="s">
        <v>19</v>
      </c>
      <c r="B100" t="s">
        <v>670</v>
      </c>
      <c r="C100">
        <v>4</v>
      </c>
      <c r="D100">
        <v>204.8</v>
      </c>
      <c r="G100" s="21" t="s">
        <v>19</v>
      </c>
      <c r="H100" t="s">
        <v>670</v>
      </c>
      <c r="I100">
        <v>4</v>
      </c>
      <c r="L100" s="21" t="s">
        <v>19</v>
      </c>
      <c r="M100" t="s">
        <v>670</v>
      </c>
      <c r="N100">
        <v>204.8</v>
      </c>
    </row>
    <row r="101" spans="1:14" x14ac:dyDescent="0.35">
      <c r="A101" t="s">
        <v>19</v>
      </c>
      <c r="B101" t="s">
        <v>802</v>
      </c>
      <c r="C101">
        <v>31</v>
      </c>
      <c r="D101">
        <v>1607.8999999999999</v>
      </c>
      <c r="G101" s="21" t="s">
        <v>19</v>
      </c>
      <c r="H101" t="s">
        <v>802</v>
      </c>
      <c r="I101">
        <v>31</v>
      </c>
      <c r="L101" s="21" t="s">
        <v>19</v>
      </c>
      <c r="M101" t="s">
        <v>802</v>
      </c>
      <c r="N101">
        <v>1607.8999999999999</v>
      </c>
    </row>
    <row r="102" spans="1:14" x14ac:dyDescent="0.35">
      <c r="A102" t="s">
        <v>19</v>
      </c>
      <c r="B102" t="s">
        <v>98</v>
      </c>
      <c r="C102">
        <v>88</v>
      </c>
      <c r="D102">
        <v>6444.9</v>
      </c>
      <c r="G102" s="21" t="s">
        <v>19</v>
      </c>
      <c r="H102" t="s">
        <v>98</v>
      </c>
      <c r="I102">
        <v>88</v>
      </c>
      <c r="L102" s="21" t="s">
        <v>19</v>
      </c>
      <c r="M102" t="s">
        <v>98</v>
      </c>
      <c r="N102">
        <v>6444.9</v>
      </c>
    </row>
    <row r="103" spans="1:14" x14ac:dyDescent="0.35">
      <c r="A103" t="s">
        <v>19</v>
      </c>
      <c r="B103" t="s">
        <v>49</v>
      </c>
      <c r="C103">
        <v>25</v>
      </c>
      <c r="D103">
        <v>1809.3</v>
      </c>
      <c r="G103" s="21" t="s">
        <v>19</v>
      </c>
      <c r="H103" t="s">
        <v>49</v>
      </c>
      <c r="I103">
        <v>25</v>
      </c>
      <c r="L103" s="21" t="s">
        <v>19</v>
      </c>
      <c r="M103" t="s">
        <v>49</v>
      </c>
      <c r="N103">
        <v>1809.3</v>
      </c>
    </row>
    <row r="104" spans="1:14" x14ac:dyDescent="0.35">
      <c r="A104" t="s">
        <v>19</v>
      </c>
      <c r="B104" t="s">
        <v>188</v>
      </c>
      <c r="C104">
        <v>178</v>
      </c>
      <c r="D104">
        <v>9680.399999999996</v>
      </c>
      <c r="G104" s="21" t="s">
        <v>19</v>
      </c>
      <c r="H104" t="s">
        <v>188</v>
      </c>
      <c r="I104">
        <v>178</v>
      </c>
      <c r="L104" s="21" t="s">
        <v>19</v>
      </c>
      <c r="M104" t="s">
        <v>188</v>
      </c>
      <c r="N104">
        <v>9680.399999999996</v>
      </c>
    </row>
    <row r="105" spans="1:14" x14ac:dyDescent="0.35">
      <c r="A105" t="s">
        <v>19</v>
      </c>
      <c r="B105" t="s">
        <v>52</v>
      </c>
      <c r="C105">
        <v>141</v>
      </c>
      <c r="D105">
        <v>9414.7999999999993</v>
      </c>
      <c r="G105" s="21" t="s">
        <v>19</v>
      </c>
      <c r="H105" t="s">
        <v>52</v>
      </c>
      <c r="I105">
        <v>141</v>
      </c>
      <c r="L105" s="21" t="s">
        <v>19</v>
      </c>
      <c r="M105" t="s">
        <v>52</v>
      </c>
      <c r="N105">
        <v>9414.7999999999993</v>
      </c>
    </row>
    <row r="106" spans="1:14" x14ac:dyDescent="0.35">
      <c r="A106" t="s">
        <v>19</v>
      </c>
      <c r="B106" t="s">
        <v>338</v>
      </c>
      <c r="C106">
        <v>6</v>
      </c>
      <c r="D106">
        <v>206.1</v>
      </c>
      <c r="G106" s="21" t="s">
        <v>19</v>
      </c>
      <c r="H106" t="s">
        <v>338</v>
      </c>
      <c r="I106">
        <v>6</v>
      </c>
      <c r="L106" s="21" t="s">
        <v>19</v>
      </c>
      <c r="M106" t="s">
        <v>338</v>
      </c>
      <c r="N106">
        <v>206.1</v>
      </c>
    </row>
    <row r="107" spans="1:14" x14ac:dyDescent="0.35">
      <c r="A107" t="s">
        <v>19</v>
      </c>
      <c r="B107" t="s">
        <v>158</v>
      </c>
      <c r="C107">
        <v>178</v>
      </c>
      <c r="D107">
        <v>7691.3</v>
      </c>
      <c r="G107" s="21" t="s">
        <v>19</v>
      </c>
      <c r="H107" t="s">
        <v>158</v>
      </c>
      <c r="I107">
        <v>178</v>
      </c>
      <c r="L107" s="21" t="s">
        <v>19</v>
      </c>
      <c r="M107" t="s">
        <v>158</v>
      </c>
      <c r="N107">
        <v>7691.3</v>
      </c>
    </row>
    <row r="108" spans="1:14" x14ac:dyDescent="0.35">
      <c r="A108" t="s">
        <v>19</v>
      </c>
      <c r="B108" t="s">
        <v>55</v>
      </c>
      <c r="C108">
        <v>699</v>
      </c>
      <c r="D108">
        <v>37784.900000000016</v>
      </c>
      <c r="G108" s="21" t="s">
        <v>19</v>
      </c>
      <c r="H108" t="s">
        <v>55</v>
      </c>
      <c r="I108">
        <v>699</v>
      </c>
      <c r="L108" s="21" t="s">
        <v>19</v>
      </c>
      <c r="M108" t="s">
        <v>55</v>
      </c>
      <c r="N108">
        <v>37784.900000000016</v>
      </c>
    </row>
    <row r="109" spans="1:14" x14ac:dyDescent="0.35">
      <c r="A109" t="s">
        <v>19</v>
      </c>
      <c r="B109" t="s">
        <v>342</v>
      </c>
      <c r="C109">
        <v>23</v>
      </c>
      <c r="D109">
        <v>1129.7</v>
      </c>
      <c r="G109" s="21" t="s">
        <v>19</v>
      </c>
      <c r="H109" t="s">
        <v>342</v>
      </c>
      <c r="I109">
        <v>23</v>
      </c>
      <c r="L109" s="21" t="s">
        <v>19</v>
      </c>
      <c r="M109" t="s">
        <v>342</v>
      </c>
      <c r="N109">
        <v>1129.7</v>
      </c>
    </row>
    <row r="110" spans="1:14" x14ac:dyDescent="0.35">
      <c r="A110" t="s">
        <v>19</v>
      </c>
      <c r="B110" t="s">
        <v>59</v>
      </c>
      <c r="C110">
        <v>356</v>
      </c>
      <c r="D110">
        <v>20988.9</v>
      </c>
      <c r="G110" s="21" t="s">
        <v>19</v>
      </c>
      <c r="H110" t="s">
        <v>59</v>
      </c>
      <c r="I110">
        <v>356</v>
      </c>
      <c r="L110" s="21" t="s">
        <v>19</v>
      </c>
      <c r="M110" t="s">
        <v>59</v>
      </c>
      <c r="N110">
        <v>20988.9</v>
      </c>
    </row>
    <row r="111" spans="1:14" x14ac:dyDescent="0.35">
      <c r="A111" t="s">
        <v>19</v>
      </c>
      <c r="B111" t="s">
        <v>62</v>
      </c>
      <c r="C111">
        <v>1768</v>
      </c>
      <c r="D111">
        <v>98367.099999999977</v>
      </c>
      <c r="G111" s="21" t="s">
        <v>19</v>
      </c>
      <c r="H111" t="s">
        <v>62</v>
      </c>
      <c r="I111">
        <v>1768</v>
      </c>
      <c r="L111" s="21" t="s">
        <v>19</v>
      </c>
      <c r="M111" t="s">
        <v>62</v>
      </c>
      <c r="N111">
        <v>98367.099999999977</v>
      </c>
    </row>
    <row r="112" spans="1:14" x14ac:dyDescent="0.35">
      <c r="A112" t="s">
        <v>19</v>
      </c>
      <c r="B112" t="s">
        <v>103</v>
      </c>
      <c r="C112">
        <v>307</v>
      </c>
      <c r="D112">
        <v>21911.9</v>
      </c>
      <c r="G112" s="21" t="s">
        <v>19</v>
      </c>
      <c r="H112" t="s">
        <v>103</v>
      </c>
      <c r="I112">
        <v>307</v>
      </c>
      <c r="L112" s="21" t="s">
        <v>19</v>
      </c>
      <c r="M112" t="s">
        <v>103</v>
      </c>
      <c r="N112">
        <v>21911.9</v>
      </c>
    </row>
    <row r="113" spans="1:14" x14ac:dyDescent="0.35">
      <c r="A113" t="s">
        <v>19</v>
      </c>
      <c r="B113" t="s">
        <v>201</v>
      </c>
      <c r="C113">
        <v>117</v>
      </c>
      <c r="D113">
        <v>5441.2</v>
      </c>
      <c r="G113" s="21" t="s">
        <v>19</v>
      </c>
      <c r="H113" t="s">
        <v>201</v>
      </c>
      <c r="I113">
        <v>117</v>
      </c>
      <c r="L113" s="21" t="s">
        <v>19</v>
      </c>
      <c r="M113" t="s">
        <v>201</v>
      </c>
      <c r="N113">
        <v>5441.2</v>
      </c>
    </row>
    <row r="114" spans="1:14" x14ac:dyDescent="0.35">
      <c r="A114" t="s">
        <v>19</v>
      </c>
      <c r="B114" t="s">
        <v>429</v>
      </c>
      <c r="C114">
        <v>13</v>
      </c>
      <c r="D114">
        <v>392.8</v>
      </c>
      <c r="G114" s="21" t="s">
        <v>19</v>
      </c>
      <c r="H114" t="s">
        <v>429</v>
      </c>
      <c r="I114">
        <v>13</v>
      </c>
      <c r="L114" s="21" t="s">
        <v>19</v>
      </c>
      <c r="M114" t="s">
        <v>429</v>
      </c>
      <c r="N114">
        <v>392.8</v>
      </c>
    </row>
    <row r="115" spans="1:14" x14ac:dyDescent="0.35">
      <c r="A115" t="s">
        <v>19</v>
      </c>
      <c r="B115" t="s">
        <v>72</v>
      </c>
      <c r="C115">
        <v>364</v>
      </c>
      <c r="D115">
        <v>16172.000000000005</v>
      </c>
      <c r="G115" s="21" t="s">
        <v>19</v>
      </c>
      <c r="H115" t="s">
        <v>72</v>
      </c>
      <c r="I115">
        <v>364</v>
      </c>
      <c r="L115" s="21" t="s">
        <v>19</v>
      </c>
      <c r="M115" t="s">
        <v>72</v>
      </c>
      <c r="N115">
        <v>16172.000000000005</v>
      </c>
    </row>
    <row r="116" spans="1:14" x14ac:dyDescent="0.35">
      <c r="A116" t="s">
        <v>19</v>
      </c>
      <c r="B116" t="s">
        <v>74</v>
      </c>
      <c r="C116">
        <v>95</v>
      </c>
      <c r="D116">
        <v>4334.9999999999991</v>
      </c>
      <c r="G116" s="21" t="s">
        <v>19</v>
      </c>
      <c r="H116" t="s">
        <v>74</v>
      </c>
      <c r="I116">
        <v>95</v>
      </c>
      <c r="L116" s="21" t="s">
        <v>19</v>
      </c>
      <c r="M116" t="s">
        <v>74</v>
      </c>
      <c r="N116">
        <v>4334.9999999999991</v>
      </c>
    </row>
    <row r="117" spans="1:14" x14ac:dyDescent="0.35">
      <c r="A117" t="s">
        <v>19</v>
      </c>
      <c r="B117" t="s">
        <v>77</v>
      </c>
      <c r="C117">
        <v>737</v>
      </c>
      <c r="D117">
        <v>37449.000000000007</v>
      </c>
      <c r="G117" s="21" t="s">
        <v>19</v>
      </c>
      <c r="H117" t="s">
        <v>77</v>
      </c>
      <c r="I117">
        <v>737</v>
      </c>
      <c r="L117" s="21" t="s">
        <v>19</v>
      </c>
      <c r="M117" t="s">
        <v>77</v>
      </c>
      <c r="N117">
        <v>37449.000000000007</v>
      </c>
    </row>
    <row r="118" spans="1:14" x14ac:dyDescent="0.35">
      <c r="A118" t="s">
        <v>19</v>
      </c>
      <c r="B118" t="s">
        <v>309</v>
      </c>
      <c r="C118">
        <v>39</v>
      </c>
      <c r="D118">
        <v>2447.5</v>
      </c>
      <c r="G118" s="21" t="s">
        <v>19</v>
      </c>
      <c r="H118" t="s">
        <v>309</v>
      </c>
      <c r="I118">
        <v>39</v>
      </c>
      <c r="L118" s="21" t="s">
        <v>19</v>
      </c>
      <c r="M118" t="s">
        <v>309</v>
      </c>
      <c r="N118">
        <v>2447.5</v>
      </c>
    </row>
    <row r="119" spans="1:14" x14ac:dyDescent="0.35">
      <c r="A119" t="s">
        <v>19</v>
      </c>
      <c r="B119" t="s">
        <v>1116</v>
      </c>
      <c r="C119">
        <v>56</v>
      </c>
      <c r="D119">
        <v>3391.1</v>
      </c>
      <c r="G119" s="21" t="s">
        <v>19</v>
      </c>
      <c r="H119" t="s">
        <v>1116</v>
      </c>
      <c r="I119">
        <v>56</v>
      </c>
      <c r="L119" s="21" t="s">
        <v>19</v>
      </c>
      <c r="M119" t="s">
        <v>1116</v>
      </c>
      <c r="N119">
        <v>3391.1</v>
      </c>
    </row>
    <row r="120" spans="1:14" x14ac:dyDescent="0.35">
      <c r="A120" t="s">
        <v>19</v>
      </c>
      <c r="B120" t="s">
        <v>700</v>
      </c>
      <c r="C120">
        <v>2</v>
      </c>
      <c r="D120">
        <v>30.8</v>
      </c>
      <c r="G120" s="21" t="s">
        <v>19</v>
      </c>
      <c r="H120" t="s">
        <v>700</v>
      </c>
      <c r="I120">
        <v>2</v>
      </c>
      <c r="L120" s="21" t="s">
        <v>19</v>
      </c>
      <c r="M120" t="s">
        <v>700</v>
      </c>
      <c r="N120">
        <v>30.8</v>
      </c>
    </row>
    <row r="121" spans="1:14" x14ac:dyDescent="0.35">
      <c r="A121" t="s">
        <v>19</v>
      </c>
      <c r="B121" t="s">
        <v>268</v>
      </c>
      <c r="C121">
        <v>8</v>
      </c>
      <c r="D121">
        <v>332.3</v>
      </c>
      <c r="G121" s="21" t="s">
        <v>19</v>
      </c>
      <c r="H121" t="s">
        <v>268</v>
      </c>
      <c r="I121">
        <v>8</v>
      </c>
      <c r="L121" s="21" t="s">
        <v>19</v>
      </c>
      <c r="M121" t="s">
        <v>268</v>
      </c>
      <c r="N121">
        <v>332.3</v>
      </c>
    </row>
    <row r="122" spans="1:14" x14ac:dyDescent="0.35">
      <c r="A122" t="s">
        <v>19</v>
      </c>
      <c r="B122" t="s">
        <v>377</v>
      </c>
      <c r="C122">
        <v>52</v>
      </c>
      <c r="D122">
        <v>3175.9999999999995</v>
      </c>
      <c r="G122" s="21" t="s">
        <v>19</v>
      </c>
      <c r="H122" t="s">
        <v>377</v>
      </c>
      <c r="I122">
        <v>52</v>
      </c>
      <c r="L122" s="21" t="s">
        <v>19</v>
      </c>
      <c r="M122" t="s">
        <v>377</v>
      </c>
      <c r="N122">
        <v>3175.9999999999995</v>
      </c>
    </row>
    <row r="123" spans="1:14" x14ac:dyDescent="0.35">
      <c r="A123" t="s">
        <v>19</v>
      </c>
      <c r="B123" t="s">
        <v>108</v>
      </c>
      <c r="C123">
        <v>295</v>
      </c>
      <c r="D123">
        <v>20939.600000000002</v>
      </c>
      <c r="G123" s="21" t="s">
        <v>19</v>
      </c>
      <c r="H123" t="s">
        <v>108</v>
      </c>
      <c r="I123">
        <v>295</v>
      </c>
      <c r="L123" s="21" t="s">
        <v>19</v>
      </c>
      <c r="M123" t="s">
        <v>108</v>
      </c>
      <c r="N123">
        <v>20939.600000000002</v>
      </c>
    </row>
    <row r="124" spans="1:14" x14ac:dyDescent="0.35">
      <c r="A124" t="s">
        <v>19</v>
      </c>
      <c r="B124" t="s">
        <v>110</v>
      </c>
      <c r="C124">
        <v>195</v>
      </c>
      <c r="D124">
        <v>10185.899999999996</v>
      </c>
      <c r="G124" s="21" t="s">
        <v>19</v>
      </c>
      <c r="H124" t="s">
        <v>110</v>
      </c>
      <c r="I124">
        <v>195</v>
      </c>
      <c r="L124" s="21" t="s">
        <v>19</v>
      </c>
      <c r="M124" t="s">
        <v>110</v>
      </c>
      <c r="N124">
        <v>10185.899999999996</v>
      </c>
    </row>
    <row r="125" spans="1:14" x14ac:dyDescent="0.35">
      <c r="A125" t="s">
        <v>19</v>
      </c>
      <c r="B125" t="s">
        <v>292</v>
      </c>
      <c r="C125">
        <v>20</v>
      </c>
      <c r="D125">
        <v>958.7</v>
      </c>
      <c r="G125" s="21" t="s">
        <v>19</v>
      </c>
      <c r="H125" t="s">
        <v>292</v>
      </c>
      <c r="I125">
        <v>20</v>
      </c>
      <c r="L125" s="21" t="s">
        <v>19</v>
      </c>
      <c r="M125" t="s">
        <v>292</v>
      </c>
      <c r="N125">
        <v>958.7</v>
      </c>
    </row>
    <row r="126" spans="1:14" x14ac:dyDescent="0.35">
      <c r="A126" t="s">
        <v>19</v>
      </c>
      <c r="B126" t="s">
        <v>79</v>
      </c>
      <c r="C126">
        <v>6</v>
      </c>
      <c r="D126">
        <v>323</v>
      </c>
      <c r="G126" s="21" t="s">
        <v>19</v>
      </c>
      <c r="H126" t="s">
        <v>79</v>
      </c>
      <c r="I126">
        <v>6</v>
      </c>
      <c r="L126" s="21" t="s">
        <v>19</v>
      </c>
      <c r="M126" t="s">
        <v>79</v>
      </c>
      <c r="N126">
        <v>323</v>
      </c>
    </row>
    <row r="127" spans="1:14" x14ac:dyDescent="0.35">
      <c r="A127" t="s">
        <v>19</v>
      </c>
      <c r="B127" t="s">
        <v>608</v>
      </c>
      <c r="C127">
        <v>5</v>
      </c>
      <c r="D127">
        <v>167.70000000000002</v>
      </c>
      <c r="G127" s="21" t="s">
        <v>19</v>
      </c>
      <c r="H127" t="s">
        <v>608</v>
      </c>
      <c r="I127">
        <v>5</v>
      </c>
      <c r="L127" s="21" t="s">
        <v>19</v>
      </c>
      <c r="M127" t="s">
        <v>608</v>
      </c>
      <c r="N127">
        <v>167.70000000000002</v>
      </c>
    </row>
    <row r="128" spans="1:14" x14ac:dyDescent="0.35">
      <c r="A128" t="s">
        <v>19</v>
      </c>
      <c r="B128" t="s">
        <v>113</v>
      </c>
      <c r="C128">
        <v>94</v>
      </c>
      <c r="D128">
        <v>3978.5</v>
      </c>
      <c r="G128" s="21" t="s">
        <v>19</v>
      </c>
      <c r="H128" t="s">
        <v>113</v>
      </c>
      <c r="I128">
        <v>94</v>
      </c>
      <c r="L128" s="21" t="s">
        <v>19</v>
      </c>
      <c r="M128" t="s">
        <v>113</v>
      </c>
      <c r="N128">
        <v>3978.5</v>
      </c>
    </row>
    <row r="129" spans="1:14" x14ac:dyDescent="0.35">
      <c r="A129" t="s">
        <v>19</v>
      </c>
      <c r="B129" t="s">
        <v>997</v>
      </c>
      <c r="C129">
        <v>28</v>
      </c>
      <c r="D129">
        <v>1405</v>
      </c>
      <c r="G129" s="21" t="s">
        <v>19</v>
      </c>
      <c r="H129" t="s">
        <v>997</v>
      </c>
      <c r="I129">
        <v>28</v>
      </c>
      <c r="L129" s="21" t="s">
        <v>19</v>
      </c>
      <c r="M129" t="s">
        <v>997</v>
      </c>
      <c r="N129">
        <v>1405</v>
      </c>
    </row>
    <row r="130" spans="1:14" x14ac:dyDescent="0.35">
      <c r="A130" t="s">
        <v>19</v>
      </c>
      <c r="B130" t="s">
        <v>82</v>
      </c>
      <c r="C130">
        <v>179</v>
      </c>
      <c r="D130">
        <v>9869.0999999999985</v>
      </c>
      <c r="G130" s="21" t="s">
        <v>19</v>
      </c>
      <c r="H130" t="s">
        <v>82</v>
      </c>
      <c r="I130">
        <v>179</v>
      </c>
      <c r="L130" s="21" t="s">
        <v>19</v>
      </c>
      <c r="M130" t="s">
        <v>82</v>
      </c>
      <c r="N130">
        <v>9869.0999999999985</v>
      </c>
    </row>
    <row r="131" spans="1:14" x14ac:dyDescent="0.35">
      <c r="A131" t="s">
        <v>19</v>
      </c>
      <c r="B131" t="s">
        <v>243</v>
      </c>
      <c r="C131">
        <v>15</v>
      </c>
      <c r="D131">
        <v>615.29999999999995</v>
      </c>
      <c r="G131" s="21" t="s">
        <v>19</v>
      </c>
      <c r="H131" t="s">
        <v>243</v>
      </c>
      <c r="I131">
        <v>15</v>
      </c>
      <c r="L131" s="21" t="s">
        <v>19</v>
      </c>
      <c r="M131" t="s">
        <v>243</v>
      </c>
      <c r="N131">
        <v>615.29999999999995</v>
      </c>
    </row>
    <row r="132" spans="1:14" x14ac:dyDescent="0.35">
      <c r="A132" t="s">
        <v>19</v>
      </c>
      <c r="B132" t="s">
        <v>1911</v>
      </c>
      <c r="C132">
        <v>3</v>
      </c>
      <c r="D132">
        <v>285</v>
      </c>
      <c r="G132" s="22" t="s">
        <v>19</v>
      </c>
      <c r="H132" t="s">
        <v>1911</v>
      </c>
      <c r="I132">
        <v>3</v>
      </c>
      <c r="L132" s="22" t="s">
        <v>19</v>
      </c>
      <c r="M132" t="s">
        <v>1911</v>
      </c>
      <c r="N132">
        <v>285</v>
      </c>
    </row>
    <row r="141" spans="1:14" x14ac:dyDescent="0.35">
      <c r="B141" s="8" t="s">
        <v>2532</v>
      </c>
      <c r="C141" t="s">
        <v>2522</v>
      </c>
      <c r="F141" s="8" t="s">
        <v>2522</v>
      </c>
      <c r="G141" s="8" t="s">
        <v>2534</v>
      </c>
    </row>
    <row r="142" spans="1:14" x14ac:dyDescent="0.35">
      <c r="B142" s="9">
        <v>0</v>
      </c>
      <c r="C142">
        <v>175</v>
      </c>
      <c r="F142" s="8" t="s">
        <v>2532</v>
      </c>
      <c r="G142">
        <v>1</v>
      </c>
      <c r="H142">
        <v>2</v>
      </c>
      <c r="I142">
        <v>3</v>
      </c>
      <c r="J142">
        <v>4</v>
      </c>
      <c r="K142">
        <v>5</v>
      </c>
      <c r="L142" t="s">
        <v>2533</v>
      </c>
    </row>
    <row r="143" spans="1:14" x14ac:dyDescent="0.35">
      <c r="B143" s="9">
        <v>1</v>
      </c>
      <c r="C143">
        <v>888</v>
      </c>
      <c r="F143" s="9" t="s">
        <v>2537</v>
      </c>
      <c r="G143">
        <v>7</v>
      </c>
      <c r="H143">
        <v>37</v>
      </c>
      <c r="I143">
        <v>150</v>
      </c>
      <c r="J143">
        <v>312</v>
      </c>
      <c r="K143">
        <v>224</v>
      </c>
      <c r="L143">
        <v>730</v>
      </c>
    </row>
    <row r="144" spans="1:14" x14ac:dyDescent="0.35">
      <c r="B144" s="9">
        <v>2</v>
      </c>
      <c r="C144">
        <v>538</v>
      </c>
      <c r="F144" s="9" t="s">
        <v>2538</v>
      </c>
      <c r="G144">
        <v>8</v>
      </c>
      <c r="H144">
        <v>51</v>
      </c>
      <c r="I144">
        <v>182</v>
      </c>
      <c r="J144">
        <v>373</v>
      </c>
      <c r="K144">
        <v>247</v>
      </c>
      <c r="L144">
        <v>861</v>
      </c>
    </row>
    <row r="145" spans="2:12" x14ac:dyDescent="0.35">
      <c r="B145" s="9">
        <v>3</v>
      </c>
      <c r="C145">
        <v>344</v>
      </c>
      <c r="F145" s="9" t="s">
        <v>2539</v>
      </c>
      <c r="G145">
        <v>6</v>
      </c>
      <c r="H145">
        <v>39</v>
      </c>
      <c r="I145">
        <v>163</v>
      </c>
      <c r="J145">
        <v>351</v>
      </c>
      <c r="K145">
        <v>250</v>
      </c>
      <c r="L145">
        <v>809</v>
      </c>
    </row>
    <row r="146" spans="2:12" x14ac:dyDescent="0.35">
      <c r="B146" s="9">
        <v>4</v>
      </c>
      <c r="C146">
        <v>200</v>
      </c>
      <c r="F146" s="9" t="s">
        <v>2533</v>
      </c>
      <c r="G146">
        <v>21</v>
      </c>
      <c r="H146">
        <v>127</v>
      </c>
      <c r="I146">
        <v>495</v>
      </c>
      <c r="J146">
        <v>1036</v>
      </c>
      <c r="K146">
        <v>721</v>
      </c>
      <c r="L146">
        <v>2400</v>
      </c>
    </row>
    <row r="147" spans="2:12" x14ac:dyDescent="0.35">
      <c r="B147" s="9">
        <v>5</v>
      </c>
      <c r="C147">
        <v>94</v>
      </c>
    </row>
    <row r="148" spans="2:12" x14ac:dyDescent="0.35">
      <c r="B148" s="9">
        <v>6</v>
      </c>
      <c r="C148">
        <v>51</v>
      </c>
    </row>
    <row r="149" spans="2:12" x14ac:dyDescent="0.35">
      <c r="B149" s="9">
        <v>7</v>
      </c>
      <c r="C149">
        <v>32</v>
      </c>
    </row>
    <row r="150" spans="2:12" x14ac:dyDescent="0.35">
      <c r="B150" s="9">
        <v>8</v>
      </c>
      <c r="C150">
        <v>23</v>
      </c>
    </row>
    <row r="151" spans="2:12" x14ac:dyDescent="0.35">
      <c r="B151" s="9">
        <v>9</v>
      </c>
      <c r="C151">
        <v>9</v>
      </c>
    </row>
    <row r="152" spans="2:12" x14ac:dyDescent="0.35">
      <c r="B152" s="9">
        <v>10</v>
      </c>
      <c r="C152">
        <v>8</v>
      </c>
    </row>
    <row r="153" spans="2:12" x14ac:dyDescent="0.35">
      <c r="B153" s="9">
        <v>11</v>
      </c>
      <c r="C153">
        <v>11</v>
      </c>
    </row>
    <row r="154" spans="2:12" x14ac:dyDescent="0.35">
      <c r="B154" s="9">
        <v>12</v>
      </c>
      <c r="C154">
        <v>4</v>
      </c>
    </row>
    <row r="155" spans="2:12" x14ac:dyDescent="0.35">
      <c r="B155" s="9">
        <v>13</v>
      </c>
      <c r="C155">
        <v>10</v>
      </c>
    </row>
    <row r="156" spans="2:12" x14ac:dyDescent="0.35">
      <c r="B156" s="9">
        <v>14</v>
      </c>
      <c r="C156">
        <v>13</v>
      </c>
    </row>
    <row r="157" spans="2:12" x14ac:dyDescent="0.35">
      <c r="B157" s="9" t="s">
        <v>2533</v>
      </c>
      <c r="C157">
        <v>2400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F64F2-5A7A-496D-AD3C-489D174D1EEA}">
  <dimension ref="A3:L10"/>
  <sheetViews>
    <sheetView showGridLines="0" workbookViewId="0">
      <selection activeCell="A5" sqref="A5"/>
    </sheetView>
  </sheetViews>
  <sheetFormatPr defaultRowHeight="14.5" x14ac:dyDescent="0.35"/>
  <cols>
    <col min="1" max="1" width="13.6328125" bestFit="1" customWidth="1"/>
    <col min="2" max="2" width="15.6328125" bestFit="1" customWidth="1"/>
    <col min="3" max="3" width="6.90625" bestFit="1" customWidth="1"/>
    <col min="4" max="4" width="5.90625" bestFit="1" customWidth="1"/>
    <col min="5" max="5" width="8.7265625" bestFit="1" customWidth="1"/>
    <col min="6" max="6" width="10.36328125" bestFit="1" customWidth="1"/>
    <col min="8" max="8" width="10.26953125" bestFit="1" customWidth="1"/>
  </cols>
  <sheetData>
    <row r="3" spans="1:12" x14ac:dyDescent="0.35">
      <c r="A3" s="8" t="s">
        <v>2518</v>
      </c>
      <c r="B3" s="8" t="s">
        <v>2534</v>
      </c>
    </row>
    <row r="4" spans="1:12" ht="15" thickBot="1" x14ac:dyDescent="0.4">
      <c r="A4" s="8" t="s">
        <v>2532</v>
      </c>
      <c r="B4" t="s">
        <v>2525</v>
      </c>
      <c r="C4" t="s">
        <v>2524</v>
      </c>
      <c r="D4" t="s">
        <v>2526</v>
      </c>
      <c r="E4" t="s">
        <v>2523</v>
      </c>
      <c r="F4" t="s">
        <v>2533</v>
      </c>
      <c r="I4" t="str">
        <f t="shared" ref="I4:I9" si="0">B4</f>
        <v>Female</v>
      </c>
      <c r="J4" t="str">
        <f t="shared" ref="J4:L5" si="1">C4</f>
        <v>Male</v>
      </c>
      <c r="K4" t="str">
        <f t="shared" si="1"/>
        <v>Other</v>
      </c>
      <c r="L4" t="str">
        <f t="shared" si="1"/>
        <v>Unknown</v>
      </c>
    </row>
    <row r="5" spans="1:12" ht="15.5" thickTop="1" thickBot="1" x14ac:dyDescent="0.4">
      <c r="A5" s="9" t="s">
        <v>18</v>
      </c>
      <c r="B5" s="10">
        <v>0.18961825201634841</v>
      </c>
      <c r="C5" s="10">
        <v>0.12262322351336576</v>
      </c>
      <c r="D5" s="10">
        <v>1.060537752469185E-2</v>
      </c>
      <c r="E5" s="10">
        <v>3.0599220547662797E-2</v>
      </c>
      <c r="F5" s="10">
        <v>0.35344607360206881</v>
      </c>
      <c r="H5" t="str">
        <f>A5</f>
        <v>App</v>
      </c>
      <c r="I5" s="11">
        <f t="shared" si="0"/>
        <v>0.18961825201634841</v>
      </c>
      <c r="J5" s="12">
        <f t="shared" si="1"/>
        <v>0.12262322351336576</v>
      </c>
      <c r="K5" s="12">
        <f t="shared" si="1"/>
        <v>1.060537752469185E-2</v>
      </c>
      <c r="L5" s="13">
        <f t="shared" si="1"/>
        <v>3.0599220547662797E-2</v>
      </c>
    </row>
    <row r="6" spans="1:12" ht="15" thickBot="1" x14ac:dyDescent="0.4">
      <c r="A6" s="9" t="s">
        <v>51</v>
      </c>
      <c r="B6" s="10">
        <v>5.0283982091147303E-2</v>
      </c>
      <c r="C6" s="10">
        <v>4.3060781812819873E-2</v>
      </c>
      <c r="D6" s="10">
        <v>1.5320025675641944E-3</v>
      </c>
      <c r="E6" s="10">
        <v>1.7794988689097006E-2</v>
      </c>
      <c r="F6" s="10">
        <v>0.11267175516062837</v>
      </c>
      <c r="H6" t="str">
        <f>A6</f>
        <v>Instagram</v>
      </c>
      <c r="I6" s="14">
        <f t="shared" si="0"/>
        <v>5.0283982091147303E-2</v>
      </c>
      <c r="J6" s="15">
        <f t="shared" ref="J6:L9" si="2">C6</f>
        <v>4.3060781812819873E-2</v>
      </c>
      <c r="K6" s="15">
        <f t="shared" si="2"/>
        <v>1.5320025675641944E-3</v>
      </c>
      <c r="L6" s="16">
        <f t="shared" si="2"/>
        <v>1.7794988689097006E-2</v>
      </c>
    </row>
    <row r="7" spans="1:12" ht="15" thickBot="1" x14ac:dyDescent="0.4">
      <c r="A7" s="9" t="s">
        <v>70</v>
      </c>
      <c r="B7" s="10">
        <v>6.3496059750411282E-2</v>
      </c>
      <c r="C7" s="10">
        <v>4.6071629863988765E-2</v>
      </c>
      <c r="D7" s="10">
        <v>2.306247051322625E-3</v>
      </c>
      <c r="E7" s="10">
        <v>3.8927934093844286E-3</v>
      </c>
      <c r="F7" s="10">
        <v>0.11576673007510711</v>
      </c>
      <c r="H7" t="str">
        <f>A7</f>
        <v>Partner App</v>
      </c>
      <c r="I7" s="14">
        <f t="shared" si="0"/>
        <v>6.3496059750411282E-2</v>
      </c>
      <c r="J7" s="15">
        <f t="shared" si="2"/>
        <v>4.6071629863988765E-2</v>
      </c>
      <c r="K7" s="15">
        <f t="shared" si="2"/>
        <v>2.306247051322625E-3</v>
      </c>
      <c r="L7" s="16">
        <f t="shared" si="2"/>
        <v>3.8927934093844286E-3</v>
      </c>
    </row>
    <row r="8" spans="1:12" ht="15" thickBot="1" x14ac:dyDescent="0.4">
      <c r="A8" s="9" t="s">
        <v>40</v>
      </c>
      <c r="B8" s="10">
        <v>9.6337892927149532E-2</v>
      </c>
      <c r="C8" s="10">
        <v>6.7920115842382611E-2</v>
      </c>
      <c r="D8" s="10">
        <v>5.4979832664581261E-3</v>
      </c>
      <c r="E8" s="10">
        <v>1.2933041488102518E-2</v>
      </c>
      <c r="F8" s="10">
        <v>0.1826890335240928</v>
      </c>
      <c r="H8" t="str">
        <f>A8</f>
        <v>Target.com</v>
      </c>
      <c r="I8" s="14">
        <f t="shared" si="0"/>
        <v>9.6337892927149532E-2</v>
      </c>
      <c r="J8" s="15">
        <f t="shared" si="2"/>
        <v>6.7920115842382611E-2</v>
      </c>
      <c r="K8" s="15">
        <f t="shared" si="2"/>
        <v>5.4979832664581261E-3</v>
      </c>
      <c r="L8" s="16">
        <f t="shared" si="2"/>
        <v>1.2933041488102518E-2</v>
      </c>
    </row>
    <row r="9" spans="1:12" ht="15" thickBot="1" x14ac:dyDescent="0.4">
      <c r="A9" s="9" t="s">
        <v>35</v>
      </c>
      <c r="B9" s="10">
        <v>0.12522098709469262</v>
      </c>
      <c r="C9" s="10">
        <v>9.1492740283116228E-2</v>
      </c>
      <c r="D9" s="10">
        <v>6.3042760790965081E-3</v>
      </c>
      <c r="E9" s="10">
        <v>1.2408404181197551E-2</v>
      </c>
      <c r="F9" s="10">
        <v>0.23542640763810288</v>
      </c>
      <c r="H9" t="str">
        <f>A9</f>
        <v>Website</v>
      </c>
      <c r="I9" s="17">
        <f t="shared" si="0"/>
        <v>0.12522098709469262</v>
      </c>
      <c r="J9" s="18">
        <f t="shared" si="2"/>
        <v>9.1492740283116228E-2</v>
      </c>
      <c r="K9" s="18">
        <f t="shared" si="2"/>
        <v>6.3042760790965081E-3</v>
      </c>
      <c r="L9" s="19">
        <f t="shared" si="2"/>
        <v>1.2408404181197551E-2</v>
      </c>
    </row>
    <row r="10" spans="1:12" ht="15" thickTop="1" x14ac:dyDescent="0.35">
      <c r="A10" s="9" t="s">
        <v>2533</v>
      </c>
      <c r="B10" s="10">
        <v>0.52495717387974916</v>
      </c>
      <c r="C10" s="10">
        <v>0.3711684913156732</v>
      </c>
      <c r="D10" s="10">
        <v>2.6245886489133303E-2</v>
      </c>
      <c r="E10" s="10">
        <v>7.7628448315444312E-2</v>
      </c>
      <c r="F10" s="10">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zoomScale="83" workbookViewId="0">
      <selection activeCell="D17" sqref="D17"/>
    </sheetView>
  </sheetViews>
  <sheetFormatPr defaultRowHeight="14.5" x14ac:dyDescent="0.35"/>
  <cols>
    <col min="2" max="2" width="19.08984375" bestFit="1" customWidth="1"/>
    <col min="3" max="3" width="8.08984375" bestFit="1" customWidth="1"/>
    <col min="4" max="4" width="9.08984375" bestFit="1" customWidth="1"/>
    <col min="5" max="5" width="7.453125" bestFit="1" customWidth="1"/>
    <col min="6" max="6" width="10" bestFit="1" customWidth="1"/>
    <col min="7" max="7" width="9.453125" bestFit="1" customWidth="1"/>
    <col min="8" max="8" width="15.6328125" bestFit="1" customWidth="1"/>
    <col min="9" max="9" width="10.6328125" bestFit="1" customWidth="1"/>
    <col min="10" max="10" width="7.81640625" bestFit="1" customWidth="1"/>
    <col min="11" max="11" width="8.81640625" bestFit="1" customWidth="1"/>
    <col min="12" max="12" width="19.6328125" bestFit="1" customWidth="1"/>
    <col min="13" max="13" width="13.36328125" bestFit="1" customWidth="1"/>
    <col min="14" max="14" width="9.36328125" bestFit="1" customWidth="1"/>
    <col min="15" max="15" width="12.08984375" bestFit="1" customWidth="1"/>
  </cols>
  <sheetData>
    <row r="1" spans="1:15" x14ac:dyDescent="0.35">
      <c r="A1" t="s">
        <v>0</v>
      </c>
      <c r="B1" t="s">
        <v>1</v>
      </c>
      <c r="C1" t="s">
        <v>2</v>
      </c>
      <c r="D1" t="s">
        <v>3</v>
      </c>
      <c r="E1" t="s">
        <v>4</v>
      </c>
      <c r="F1" t="s">
        <v>5</v>
      </c>
      <c r="G1" t="s">
        <v>6</v>
      </c>
      <c r="H1" t="s">
        <v>7</v>
      </c>
      <c r="I1" t="s">
        <v>8</v>
      </c>
      <c r="J1" t="s">
        <v>9</v>
      </c>
      <c r="K1" t="s">
        <v>10</v>
      </c>
      <c r="L1" t="s">
        <v>11</v>
      </c>
      <c r="M1" s="2" t="s">
        <v>12</v>
      </c>
      <c r="N1" s="2" t="s">
        <v>13</v>
      </c>
      <c r="O1" s="2" t="s">
        <v>14</v>
      </c>
    </row>
    <row r="2" spans="1:15" x14ac:dyDescent="0.3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f t="array" ref="O2">_xlfn.IFS(orders[[#This Row],[Customer Gender]]="M","Male", orders[[#This Row],[Customer Gender]]="F","Female", orders[[#This Row],[Customer Gender]]="O","Other", TRUE,"Unknown")</f>
        <v>Unknown</v>
      </c>
    </row>
    <row r="3" spans="1:15" x14ac:dyDescent="0.3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f t="array" ref="O3">_xlfn.IFS(orders[[#This Row],[Customer Gender]]="M","Male", orders[[#This Row],[Customer Gender]]="F","Female", orders[[#This Row],[Customer Gender]]="O","Other", TRUE,"Unknown")</f>
        <v>Male</v>
      </c>
    </row>
    <row r="4" spans="1:15" x14ac:dyDescent="0.3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f t="array" ref="O4">_xlfn.IFS(orders[[#This Row],[Customer Gender]]="M","Male", orders[[#This Row],[Customer Gender]]="F","Female", orders[[#This Row],[Customer Gender]]="O","Other", TRUE,"Unknown")</f>
        <v>Female</v>
      </c>
    </row>
    <row r="5" spans="1:15" x14ac:dyDescent="0.3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f t="array" ref="O5">_xlfn.IFS(orders[[#This Row],[Customer Gender]]="M","Male", orders[[#This Row],[Customer Gender]]="F","Female", orders[[#This Row],[Customer Gender]]="O","Other", TRUE,"Unknown")</f>
        <v>Female</v>
      </c>
    </row>
    <row r="6" spans="1:15" x14ac:dyDescent="0.3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f t="array" ref="O6">_xlfn.IFS(orders[[#This Row],[Customer Gender]]="M","Male", orders[[#This Row],[Customer Gender]]="F","Female", orders[[#This Row],[Customer Gender]]="O","Other", TRUE,"Unknown")</f>
        <v>Female</v>
      </c>
    </row>
    <row r="7" spans="1:15" x14ac:dyDescent="0.3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f t="array" ref="O7">_xlfn.IFS(orders[[#This Row],[Customer Gender]]="M","Male", orders[[#This Row],[Customer Gender]]="F","Female", orders[[#This Row],[Customer Gender]]="O","Other", TRUE,"Unknown")</f>
        <v>Male</v>
      </c>
    </row>
    <row r="8" spans="1:15" x14ac:dyDescent="0.3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f t="array" ref="O8">_xlfn.IFS(orders[[#This Row],[Customer Gender]]="M","Male", orders[[#This Row],[Customer Gender]]="F","Female", orders[[#This Row],[Customer Gender]]="O","Other", TRUE,"Unknown")</f>
        <v>Female</v>
      </c>
    </row>
    <row r="9" spans="1:15" x14ac:dyDescent="0.3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f t="array" ref="O9">_xlfn.IFS(orders[[#This Row],[Customer Gender]]="M","Male", orders[[#This Row],[Customer Gender]]="F","Female", orders[[#This Row],[Customer Gender]]="O","Other", TRUE,"Unknown")</f>
        <v>Male</v>
      </c>
    </row>
    <row r="10" spans="1:15" x14ac:dyDescent="0.3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f t="array" ref="O10">_xlfn.IFS(orders[[#This Row],[Customer Gender]]="M","Male", orders[[#This Row],[Customer Gender]]="F","Female", orders[[#This Row],[Customer Gender]]="O","Other", TRUE,"Unknown")</f>
        <v>Female</v>
      </c>
    </row>
    <row r="11" spans="1:15" x14ac:dyDescent="0.3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f t="array" ref="O11">_xlfn.IFS(orders[[#This Row],[Customer Gender]]="M","Male", orders[[#This Row],[Customer Gender]]="F","Female", orders[[#This Row],[Customer Gender]]="O","Other", TRUE,"Unknown")</f>
        <v>Male</v>
      </c>
    </row>
    <row r="12" spans="1:15" x14ac:dyDescent="0.3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f t="array" ref="O12">_xlfn.IFS(orders[[#This Row],[Customer Gender]]="M","Male", orders[[#This Row],[Customer Gender]]="F","Female", orders[[#This Row],[Customer Gender]]="O","Other", TRUE,"Unknown")</f>
        <v>Female</v>
      </c>
    </row>
    <row r="13" spans="1:15" x14ac:dyDescent="0.3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f t="array" ref="O13">_xlfn.IFS(orders[[#This Row],[Customer Gender]]="M","Male", orders[[#This Row],[Customer Gender]]="F","Female", orders[[#This Row],[Customer Gender]]="O","Other", TRUE,"Unknown")</f>
        <v>Female</v>
      </c>
    </row>
    <row r="14" spans="1:15" x14ac:dyDescent="0.3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f t="array" ref="O14">_xlfn.IFS(orders[[#This Row],[Customer Gender]]="M","Male", orders[[#This Row],[Customer Gender]]="F","Female", orders[[#This Row],[Customer Gender]]="O","Other", TRUE,"Unknown")</f>
        <v>Female</v>
      </c>
    </row>
    <row r="15" spans="1:15" x14ac:dyDescent="0.3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f t="array" ref="O15">_xlfn.IFS(orders[[#This Row],[Customer Gender]]="M","Male", orders[[#This Row],[Customer Gender]]="F","Female", orders[[#This Row],[Customer Gender]]="O","Other", TRUE,"Unknown")</f>
        <v>Male</v>
      </c>
    </row>
    <row r="16" spans="1:15" x14ac:dyDescent="0.3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f t="array" ref="O16">_xlfn.IFS(orders[[#This Row],[Customer Gender]]="M","Male", orders[[#This Row],[Customer Gender]]="F","Female", orders[[#This Row],[Customer Gender]]="O","Other", TRUE,"Unknown")</f>
        <v>Male</v>
      </c>
    </row>
    <row r="17" spans="1:15" x14ac:dyDescent="0.3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f t="array" ref="O17">_xlfn.IFS(orders[[#This Row],[Customer Gender]]="M","Male", orders[[#This Row],[Customer Gender]]="F","Female", orders[[#This Row],[Customer Gender]]="O","Other", TRUE,"Unknown")</f>
        <v>Male</v>
      </c>
    </row>
    <row r="18" spans="1:15" x14ac:dyDescent="0.3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f t="array" ref="O18">_xlfn.IFS(orders[[#This Row],[Customer Gender]]="M","Male", orders[[#This Row],[Customer Gender]]="F","Female", orders[[#This Row],[Customer Gender]]="O","Other", TRUE,"Unknown")</f>
        <v>Female</v>
      </c>
    </row>
    <row r="19" spans="1:15" x14ac:dyDescent="0.3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f t="array" ref="O19">_xlfn.IFS(orders[[#This Row],[Customer Gender]]="M","Male", orders[[#This Row],[Customer Gender]]="F","Female", orders[[#This Row],[Customer Gender]]="O","Other", TRUE,"Unknown")</f>
        <v>Female</v>
      </c>
    </row>
    <row r="20" spans="1:15" x14ac:dyDescent="0.3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f t="array" ref="O20">_xlfn.IFS(orders[[#This Row],[Customer Gender]]="M","Male", orders[[#This Row],[Customer Gender]]="F","Female", orders[[#This Row],[Customer Gender]]="O","Other", TRUE,"Unknown")</f>
        <v>Female</v>
      </c>
    </row>
    <row r="21" spans="1:15" x14ac:dyDescent="0.3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f t="array" ref="O21">_xlfn.IFS(orders[[#This Row],[Customer Gender]]="M","Male", orders[[#This Row],[Customer Gender]]="F","Female", orders[[#This Row],[Customer Gender]]="O","Other", TRUE,"Unknown")</f>
        <v>Female</v>
      </c>
    </row>
    <row r="22" spans="1:15" x14ac:dyDescent="0.3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f t="array" ref="O22">_xlfn.IFS(orders[[#This Row],[Customer Gender]]="M","Male", orders[[#This Row],[Customer Gender]]="F","Female", orders[[#This Row],[Customer Gender]]="O","Other", TRUE,"Unknown")</f>
        <v>Female</v>
      </c>
    </row>
    <row r="23" spans="1:15" x14ac:dyDescent="0.3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f t="array" ref="O23">_xlfn.IFS(orders[[#This Row],[Customer Gender]]="M","Male", orders[[#This Row],[Customer Gender]]="F","Female", orders[[#This Row],[Customer Gender]]="O","Other", TRUE,"Unknown")</f>
        <v>Female</v>
      </c>
    </row>
    <row r="24" spans="1:15" x14ac:dyDescent="0.3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f t="array" ref="O24">_xlfn.IFS(orders[[#This Row],[Customer Gender]]="M","Male", orders[[#This Row],[Customer Gender]]="F","Female", orders[[#This Row],[Customer Gender]]="O","Other", TRUE,"Unknown")</f>
        <v>Male</v>
      </c>
    </row>
    <row r="25" spans="1:15" x14ac:dyDescent="0.3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f t="array" ref="O25">_xlfn.IFS(orders[[#This Row],[Customer Gender]]="M","Male", orders[[#This Row],[Customer Gender]]="F","Female", orders[[#This Row],[Customer Gender]]="O","Other", TRUE,"Unknown")</f>
        <v>Female</v>
      </c>
    </row>
    <row r="26" spans="1:15" x14ac:dyDescent="0.3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f t="array" ref="O26">_xlfn.IFS(orders[[#This Row],[Customer Gender]]="M","Male", orders[[#This Row],[Customer Gender]]="F","Female", orders[[#This Row],[Customer Gender]]="O","Other", TRUE,"Unknown")</f>
        <v>Female</v>
      </c>
    </row>
    <row r="27" spans="1:15" x14ac:dyDescent="0.3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f t="array" ref="O27">_xlfn.IFS(orders[[#This Row],[Customer Gender]]="M","Male", orders[[#This Row],[Customer Gender]]="F","Female", orders[[#This Row],[Customer Gender]]="O","Other", TRUE,"Unknown")</f>
        <v>Female</v>
      </c>
    </row>
    <row r="28" spans="1:15" x14ac:dyDescent="0.3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f t="array" ref="O28">_xlfn.IFS(orders[[#This Row],[Customer Gender]]="M","Male", orders[[#This Row],[Customer Gender]]="F","Female", orders[[#This Row],[Customer Gender]]="O","Other", TRUE,"Unknown")</f>
        <v>Male</v>
      </c>
    </row>
    <row r="29" spans="1:15" x14ac:dyDescent="0.3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f t="array" ref="O29">_xlfn.IFS(orders[[#This Row],[Customer Gender]]="M","Male", orders[[#This Row],[Customer Gender]]="F","Female", orders[[#This Row],[Customer Gender]]="O","Other", TRUE,"Unknown")</f>
        <v>Unknown</v>
      </c>
    </row>
    <row r="30" spans="1:15" x14ac:dyDescent="0.3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f t="array" ref="O30">_xlfn.IFS(orders[[#This Row],[Customer Gender]]="M","Male", orders[[#This Row],[Customer Gender]]="F","Female", orders[[#This Row],[Customer Gender]]="O","Other", TRUE,"Unknown")</f>
        <v>Unknown</v>
      </c>
    </row>
    <row r="31" spans="1:15" x14ac:dyDescent="0.3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f t="array" ref="O31">_xlfn.IFS(orders[[#This Row],[Customer Gender]]="M","Male", orders[[#This Row],[Customer Gender]]="F","Female", orders[[#This Row],[Customer Gender]]="O","Other", TRUE,"Unknown")</f>
        <v>Female</v>
      </c>
    </row>
    <row r="32" spans="1:15" x14ac:dyDescent="0.3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f t="array" ref="O32">_xlfn.IFS(orders[[#This Row],[Customer Gender]]="M","Male", orders[[#This Row],[Customer Gender]]="F","Female", orders[[#This Row],[Customer Gender]]="O","Other", TRUE,"Unknown")</f>
        <v>Male</v>
      </c>
    </row>
    <row r="33" spans="1:15" x14ac:dyDescent="0.3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f t="array" ref="O33">_xlfn.IFS(orders[[#This Row],[Customer Gender]]="M","Male", orders[[#This Row],[Customer Gender]]="F","Female", orders[[#This Row],[Customer Gender]]="O","Other", TRUE,"Unknown")</f>
        <v>Male</v>
      </c>
    </row>
    <row r="34" spans="1:15" x14ac:dyDescent="0.3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f t="array" ref="O34">_xlfn.IFS(orders[[#This Row],[Customer Gender]]="M","Male", orders[[#This Row],[Customer Gender]]="F","Female", orders[[#This Row],[Customer Gender]]="O","Other", TRUE,"Unknown")</f>
        <v>Male</v>
      </c>
    </row>
    <row r="35" spans="1:15" x14ac:dyDescent="0.3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f t="array" ref="O35">_xlfn.IFS(orders[[#This Row],[Customer Gender]]="M","Male", orders[[#This Row],[Customer Gender]]="F","Female", orders[[#This Row],[Customer Gender]]="O","Other", TRUE,"Unknown")</f>
        <v>Other</v>
      </c>
    </row>
    <row r="36" spans="1:15" x14ac:dyDescent="0.3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f t="array" ref="O36">_xlfn.IFS(orders[[#This Row],[Customer Gender]]="M","Male", orders[[#This Row],[Customer Gender]]="F","Female", orders[[#This Row],[Customer Gender]]="O","Other", TRUE,"Unknown")</f>
        <v>Male</v>
      </c>
    </row>
    <row r="37" spans="1:15" x14ac:dyDescent="0.3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f t="array" ref="O37">_xlfn.IFS(orders[[#This Row],[Customer Gender]]="M","Male", orders[[#This Row],[Customer Gender]]="F","Female", orders[[#This Row],[Customer Gender]]="O","Other", TRUE,"Unknown")</f>
        <v>Male</v>
      </c>
    </row>
    <row r="38" spans="1:15" x14ac:dyDescent="0.3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f t="array" ref="O38">_xlfn.IFS(orders[[#This Row],[Customer Gender]]="M","Male", orders[[#This Row],[Customer Gender]]="F","Female", orders[[#This Row],[Customer Gender]]="O","Other", TRUE,"Unknown")</f>
        <v>Male</v>
      </c>
    </row>
    <row r="39" spans="1:15" x14ac:dyDescent="0.3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f t="array" ref="O39">_xlfn.IFS(orders[[#This Row],[Customer Gender]]="M","Male", orders[[#This Row],[Customer Gender]]="F","Female", orders[[#This Row],[Customer Gender]]="O","Other", TRUE,"Unknown")</f>
        <v>Male</v>
      </c>
    </row>
    <row r="40" spans="1:15" x14ac:dyDescent="0.3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f t="array" ref="O40">_xlfn.IFS(orders[[#This Row],[Customer Gender]]="M","Male", orders[[#This Row],[Customer Gender]]="F","Female", orders[[#This Row],[Customer Gender]]="O","Other", TRUE,"Unknown")</f>
        <v>Male</v>
      </c>
    </row>
    <row r="41" spans="1:15" x14ac:dyDescent="0.3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f t="array" ref="O41">_xlfn.IFS(orders[[#This Row],[Customer Gender]]="M","Male", orders[[#This Row],[Customer Gender]]="F","Female", orders[[#This Row],[Customer Gender]]="O","Other", TRUE,"Unknown")</f>
        <v>Female</v>
      </c>
    </row>
    <row r="42" spans="1:15" x14ac:dyDescent="0.3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f t="array" ref="O42">_xlfn.IFS(orders[[#This Row],[Customer Gender]]="M","Male", orders[[#This Row],[Customer Gender]]="F","Female", orders[[#This Row],[Customer Gender]]="O","Other", TRUE,"Unknown")</f>
        <v>Female</v>
      </c>
    </row>
    <row r="43" spans="1:15" x14ac:dyDescent="0.3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f t="array" ref="O43">_xlfn.IFS(orders[[#This Row],[Customer Gender]]="M","Male", orders[[#This Row],[Customer Gender]]="F","Female", orders[[#This Row],[Customer Gender]]="O","Other", TRUE,"Unknown")</f>
        <v>Male</v>
      </c>
    </row>
    <row r="44" spans="1:15" x14ac:dyDescent="0.3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f t="array" ref="O44">_xlfn.IFS(orders[[#This Row],[Customer Gender]]="M","Male", orders[[#This Row],[Customer Gender]]="F","Female", orders[[#This Row],[Customer Gender]]="O","Other", TRUE,"Unknown")</f>
        <v>Male</v>
      </c>
    </row>
    <row r="45" spans="1:15" x14ac:dyDescent="0.3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f t="array" ref="O45">_xlfn.IFS(orders[[#This Row],[Customer Gender]]="M","Male", orders[[#This Row],[Customer Gender]]="F","Female", orders[[#This Row],[Customer Gender]]="O","Other", TRUE,"Unknown")</f>
        <v>Female</v>
      </c>
    </row>
    <row r="46" spans="1:15" x14ac:dyDescent="0.3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f t="array" ref="O46">_xlfn.IFS(orders[[#This Row],[Customer Gender]]="M","Male", orders[[#This Row],[Customer Gender]]="F","Female", orders[[#This Row],[Customer Gender]]="O","Other", TRUE,"Unknown")</f>
        <v>Female</v>
      </c>
    </row>
    <row r="47" spans="1:15" x14ac:dyDescent="0.3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f t="array" ref="O47">_xlfn.IFS(orders[[#This Row],[Customer Gender]]="M","Male", orders[[#This Row],[Customer Gender]]="F","Female", orders[[#This Row],[Customer Gender]]="O","Other", TRUE,"Unknown")</f>
        <v>Female</v>
      </c>
    </row>
    <row r="48" spans="1:15" x14ac:dyDescent="0.3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f t="array" ref="O48">_xlfn.IFS(orders[[#This Row],[Customer Gender]]="M","Male", orders[[#This Row],[Customer Gender]]="F","Female", orders[[#This Row],[Customer Gender]]="O","Other", TRUE,"Unknown")</f>
        <v>Male</v>
      </c>
    </row>
    <row r="49" spans="1:15" x14ac:dyDescent="0.3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f t="array" ref="O49">_xlfn.IFS(orders[[#This Row],[Customer Gender]]="M","Male", orders[[#This Row],[Customer Gender]]="F","Female", orders[[#This Row],[Customer Gender]]="O","Other", TRUE,"Unknown")</f>
        <v>Female</v>
      </c>
    </row>
    <row r="50" spans="1:15" x14ac:dyDescent="0.3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f t="array" ref="O50">_xlfn.IFS(orders[[#This Row],[Customer Gender]]="M","Male", orders[[#This Row],[Customer Gender]]="F","Female", orders[[#This Row],[Customer Gender]]="O","Other", TRUE,"Unknown")</f>
        <v>Female</v>
      </c>
    </row>
    <row r="51" spans="1:15" x14ac:dyDescent="0.3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f t="array" ref="O51">_xlfn.IFS(orders[[#This Row],[Customer Gender]]="M","Male", orders[[#This Row],[Customer Gender]]="F","Female", orders[[#This Row],[Customer Gender]]="O","Other", TRUE,"Unknown")</f>
        <v>Female</v>
      </c>
    </row>
    <row r="52" spans="1:15" x14ac:dyDescent="0.3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f t="array" ref="O52">_xlfn.IFS(orders[[#This Row],[Customer Gender]]="M","Male", orders[[#This Row],[Customer Gender]]="F","Female", orders[[#This Row],[Customer Gender]]="O","Other", TRUE,"Unknown")</f>
        <v>Male</v>
      </c>
    </row>
    <row r="53" spans="1:15" x14ac:dyDescent="0.3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f t="array" ref="O53">_xlfn.IFS(orders[[#This Row],[Customer Gender]]="M","Male", orders[[#This Row],[Customer Gender]]="F","Female", orders[[#This Row],[Customer Gender]]="O","Other", TRUE,"Unknown")</f>
        <v>Female</v>
      </c>
    </row>
    <row r="54" spans="1:15" x14ac:dyDescent="0.3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f t="array" ref="O54">_xlfn.IFS(orders[[#This Row],[Customer Gender]]="M","Male", orders[[#This Row],[Customer Gender]]="F","Female", orders[[#This Row],[Customer Gender]]="O","Other", TRUE,"Unknown")</f>
        <v>Male</v>
      </c>
    </row>
    <row r="55" spans="1:15" x14ac:dyDescent="0.3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f t="array" ref="O55">_xlfn.IFS(orders[[#This Row],[Customer Gender]]="M","Male", orders[[#This Row],[Customer Gender]]="F","Female", orders[[#This Row],[Customer Gender]]="O","Other", TRUE,"Unknown")</f>
        <v>Female</v>
      </c>
    </row>
    <row r="56" spans="1:15" x14ac:dyDescent="0.3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f t="array" ref="O56">_xlfn.IFS(orders[[#This Row],[Customer Gender]]="M","Male", orders[[#This Row],[Customer Gender]]="F","Female", orders[[#This Row],[Customer Gender]]="O","Other", TRUE,"Unknown")</f>
        <v>Male</v>
      </c>
    </row>
    <row r="57" spans="1:15" x14ac:dyDescent="0.3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f t="array" ref="O57">_xlfn.IFS(orders[[#This Row],[Customer Gender]]="M","Male", orders[[#This Row],[Customer Gender]]="F","Female", orders[[#This Row],[Customer Gender]]="O","Other", TRUE,"Unknown")</f>
        <v>Male</v>
      </c>
    </row>
    <row r="58" spans="1:15" x14ac:dyDescent="0.3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f t="array" ref="O58">_xlfn.IFS(orders[[#This Row],[Customer Gender]]="M","Male", orders[[#This Row],[Customer Gender]]="F","Female", orders[[#This Row],[Customer Gender]]="O","Other", TRUE,"Unknown")</f>
        <v>Female</v>
      </c>
    </row>
    <row r="59" spans="1:15" x14ac:dyDescent="0.3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f t="array" ref="O59">_xlfn.IFS(orders[[#This Row],[Customer Gender]]="M","Male", orders[[#This Row],[Customer Gender]]="F","Female", orders[[#This Row],[Customer Gender]]="O","Other", TRUE,"Unknown")</f>
        <v>Female</v>
      </c>
    </row>
    <row r="60" spans="1:15" x14ac:dyDescent="0.3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f t="array" ref="O60">_xlfn.IFS(orders[[#This Row],[Customer Gender]]="M","Male", orders[[#This Row],[Customer Gender]]="F","Female", orders[[#This Row],[Customer Gender]]="O","Other", TRUE,"Unknown")</f>
        <v>Male</v>
      </c>
    </row>
    <row r="61" spans="1:15" x14ac:dyDescent="0.3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f t="array" ref="O61">_xlfn.IFS(orders[[#This Row],[Customer Gender]]="M","Male", orders[[#This Row],[Customer Gender]]="F","Female", orders[[#This Row],[Customer Gender]]="O","Other", TRUE,"Unknown")</f>
        <v>Female</v>
      </c>
    </row>
    <row r="62" spans="1:15" x14ac:dyDescent="0.3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f t="array" ref="O62">_xlfn.IFS(orders[[#This Row],[Customer Gender]]="M","Male", orders[[#This Row],[Customer Gender]]="F","Female", orders[[#This Row],[Customer Gender]]="O","Other", TRUE,"Unknown")</f>
        <v>Female</v>
      </c>
    </row>
    <row r="63" spans="1:15" x14ac:dyDescent="0.3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f t="array" ref="O63">_xlfn.IFS(orders[[#This Row],[Customer Gender]]="M","Male", orders[[#This Row],[Customer Gender]]="F","Female", orders[[#This Row],[Customer Gender]]="O","Other", TRUE,"Unknown")</f>
        <v>Female</v>
      </c>
    </row>
    <row r="64" spans="1:15" x14ac:dyDescent="0.3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f t="array" ref="O64">_xlfn.IFS(orders[[#This Row],[Customer Gender]]="M","Male", orders[[#This Row],[Customer Gender]]="F","Female", orders[[#This Row],[Customer Gender]]="O","Other", TRUE,"Unknown")</f>
        <v>Female</v>
      </c>
    </row>
    <row r="65" spans="1:15" x14ac:dyDescent="0.3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f t="array" ref="O65">_xlfn.IFS(orders[[#This Row],[Customer Gender]]="M","Male", orders[[#This Row],[Customer Gender]]="F","Female", orders[[#This Row],[Customer Gender]]="O","Other", TRUE,"Unknown")</f>
        <v>Male</v>
      </c>
    </row>
    <row r="66" spans="1:15" x14ac:dyDescent="0.3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f t="array" ref="O66">_xlfn.IFS(orders[[#This Row],[Customer Gender]]="M","Male", orders[[#This Row],[Customer Gender]]="F","Female", orders[[#This Row],[Customer Gender]]="O","Other", TRUE,"Unknown")</f>
        <v>Female</v>
      </c>
    </row>
    <row r="67" spans="1:15" x14ac:dyDescent="0.3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f t="array" ref="O67">_xlfn.IFS(orders[[#This Row],[Customer Gender]]="M","Male", orders[[#This Row],[Customer Gender]]="F","Female", orders[[#This Row],[Customer Gender]]="O","Other", TRUE,"Unknown")</f>
        <v>Female</v>
      </c>
    </row>
    <row r="68" spans="1:15" x14ac:dyDescent="0.3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f t="array" ref="O68">_xlfn.IFS(orders[[#This Row],[Customer Gender]]="M","Male", orders[[#This Row],[Customer Gender]]="F","Female", orders[[#This Row],[Customer Gender]]="O","Other", TRUE,"Unknown")</f>
        <v>Male</v>
      </c>
    </row>
    <row r="69" spans="1:15" x14ac:dyDescent="0.3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f t="array" ref="O69">_xlfn.IFS(orders[[#This Row],[Customer Gender]]="M","Male", orders[[#This Row],[Customer Gender]]="F","Female", orders[[#This Row],[Customer Gender]]="O","Other", TRUE,"Unknown")</f>
        <v>Female</v>
      </c>
    </row>
    <row r="70" spans="1:15" x14ac:dyDescent="0.3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f t="array" ref="O70">_xlfn.IFS(orders[[#This Row],[Customer Gender]]="M","Male", orders[[#This Row],[Customer Gender]]="F","Female", orders[[#This Row],[Customer Gender]]="O","Other", TRUE,"Unknown")</f>
        <v>Female</v>
      </c>
    </row>
    <row r="71" spans="1:15" x14ac:dyDescent="0.3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f t="array" ref="O71">_xlfn.IFS(orders[[#This Row],[Customer Gender]]="M","Male", orders[[#This Row],[Customer Gender]]="F","Female", orders[[#This Row],[Customer Gender]]="O","Other", TRUE,"Unknown")</f>
        <v>Male</v>
      </c>
    </row>
    <row r="72" spans="1:15" x14ac:dyDescent="0.3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f t="array" ref="O72">_xlfn.IFS(orders[[#This Row],[Customer Gender]]="M","Male", orders[[#This Row],[Customer Gender]]="F","Female", orders[[#This Row],[Customer Gender]]="O","Other", TRUE,"Unknown")</f>
        <v>Male</v>
      </c>
    </row>
    <row r="73" spans="1:15" x14ac:dyDescent="0.3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f t="array" ref="O73">_xlfn.IFS(orders[[#This Row],[Customer Gender]]="M","Male", orders[[#This Row],[Customer Gender]]="F","Female", orders[[#This Row],[Customer Gender]]="O","Other", TRUE,"Unknown")</f>
        <v>Female</v>
      </c>
    </row>
    <row r="74" spans="1:15" x14ac:dyDescent="0.3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f t="array" ref="O74">_xlfn.IFS(orders[[#This Row],[Customer Gender]]="M","Male", orders[[#This Row],[Customer Gender]]="F","Female", orders[[#This Row],[Customer Gender]]="O","Other", TRUE,"Unknown")</f>
        <v>Female</v>
      </c>
    </row>
    <row r="75" spans="1:15" x14ac:dyDescent="0.3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f t="array" ref="O75">_xlfn.IFS(orders[[#This Row],[Customer Gender]]="M","Male", orders[[#This Row],[Customer Gender]]="F","Female", orders[[#This Row],[Customer Gender]]="O","Other", TRUE,"Unknown")</f>
        <v>Female</v>
      </c>
    </row>
    <row r="76" spans="1:15" x14ac:dyDescent="0.3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f t="array" ref="O76">_xlfn.IFS(orders[[#This Row],[Customer Gender]]="M","Male", orders[[#This Row],[Customer Gender]]="F","Female", orders[[#This Row],[Customer Gender]]="O","Other", TRUE,"Unknown")</f>
        <v>Male</v>
      </c>
    </row>
    <row r="77" spans="1:15" x14ac:dyDescent="0.3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f t="array" ref="O77">_xlfn.IFS(orders[[#This Row],[Customer Gender]]="M","Male", orders[[#This Row],[Customer Gender]]="F","Female", orders[[#This Row],[Customer Gender]]="O","Other", TRUE,"Unknown")</f>
        <v>Other</v>
      </c>
    </row>
    <row r="78" spans="1:15" x14ac:dyDescent="0.3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f t="array" ref="O78">_xlfn.IFS(orders[[#This Row],[Customer Gender]]="M","Male", orders[[#This Row],[Customer Gender]]="F","Female", orders[[#This Row],[Customer Gender]]="O","Other", TRUE,"Unknown")</f>
        <v>Female</v>
      </c>
    </row>
    <row r="79" spans="1:15" x14ac:dyDescent="0.3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f t="array" ref="O79">_xlfn.IFS(orders[[#This Row],[Customer Gender]]="M","Male", orders[[#This Row],[Customer Gender]]="F","Female", orders[[#This Row],[Customer Gender]]="O","Other", TRUE,"Unknown")</f>
        <v>Male</v>
      </c>
    </row>
    <row r="80" spans="1:15" x14ac:dyDescent="0.3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f t="array" ref="O80">_xlfn.IFS(orders[[#This Row],[Customer Gender]]="M","Male", orders[[#This Row],[Customer Gender]]="F","Female", orders[[#This Row],[Customer Gender]]="O","Other", TRUE,"Unknown")</f>
        <v>Female</v>
      </c>
    </row>
    <row r="81" spans="1:15" x14ac:dyDescent="0.3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f t="array" ref="O81">_xlfn.IFS(orders[[#This Row],[Customer Gender]]="M","Male", orders[[#This Row],[Customer Gender]]="F","Female", orders[[#This Row],[Customer Gender]]="O","Other", TRUE,"Unknown")</f>
        <v>Female</v>
      </c>
    </row>
    <row r="82" spans="1:15" x14ac:dyDescent="0.3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f t="array" ref="O82">_xlfn.IFS(orders[[#This Row],[Customer Gender]]="M","Male", orders[[#This Row],[Customer Gender]]="F","Female", orders[[#This Row],[Customer Gender]]="O","Other", TRUE,"Unknown")</f>
        <v>Male</v>
      </c>
    </row>
    <row r="83" spans="1:15" x14ac:dyDescent="0.3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f t="array" ref="O83">_xlfn.IFS(orders[[#This Row],[Customer Gender]]="M","Male", orders[[#This Row],[Customer Gender]]="F","Female", orders[[#This Row],[Customer Gender]]="O","Other", TRUE,"Unknown")</f>
        <v>Female</v>
      </c>
    </row>
    <row r="84" spans="1:15" x14ac:dyDescent="0.3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f t="array" ref="O84">_xlfn.IFS(orders[[#This Row],[Customer Gender]]="M","Male", orders[[#This Row],[Customer Gender]]="F","Female", orders[[#This Row],[Customer Gender]]="O","Other", TRUE,"Unknown")</f>
        <v>Male</v>
      </c>
    </row>
    <row r="85" spans="1:15" x14ac:dyDescent="0.3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f t="array" ref="O85">_xlfn.IFS(orders[[#This Row],[Customer Gender]]="M","Male", orders[[#This Row],[Customer Gender]]="F","Female", orders[[#This Row],[Customer Gender]]="O","Other", TRUE,"Unknown")</f>
        <v>Female</v>
      </c>
    </row>
    <row r="86" spans="1:15" x14ac:dyDescent="0.3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f t="array" ref="O86">_xlfn.IFS(orders[[#This Row],[Customer Gender]]="M","Male", orders[[#This Row],[Customer Gender]]="F","Female", orders[[#This Row],[Customer Gender]]="O","Other", TRUE,"Unknown")</f>
        <v>Male</v>
      </c>
    </row>
    <row r="87" spans="1:15" x14ac:dyDescent="0.3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f t="array" ref="O87">_xlfn.IFS(orders[[#This Row],[Customer Gender]]="M","Male", orders[[#This Row],[Customer Gender]]="F","Female", orders[[#This Row],[Customer Gender]]="O","Other", TRUE,"Unknown")</f>
        <v>Male</v>
      </c>
    </row>
    <row r="88" spans="1:15" x14ac:dyDescent="0.3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f t="array" ref="O88">_xlfn.IFS(orders[[#This Row],[Customer Gender]]="M","Male", orders[[#This Row],[Customer Gender]]="F","Female", orders[[#This Row],[Customer Gender]]="O","Other", TRUE,"Unknown")</f>
        <v>Female</v>
      </c>
    </row>
    <row r="89" spans="1:15" x14ac:dyDescent="0.3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f t="array" ref="O89">_xlfn.IFS(orders[[#This Row],[Customer Gender]]="M","Male", orders[[#This Row],[Customer Gender]]="F","Female", orders[[#This Row],[Customer Gender]]="O","Other", TRUE,"Unknown")</f>
        <v>Male</v>
      </c>
    </row>
    <row r="90" spans="1:15" x14ac:dyDescent="0.3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f t="array" ref="O90">_xlfn.IFS(orders[[#This Row],[Customer Gender]]="M","Male", orders[[#This Row],[Customer Gender]]="F","Female", orders[[#This Row],[Customer Gender]]="O","Other", TRUE,"Unknown")</f>
        <v>Male</v>
      </c>
    </row>
    <row r="91" spans="1:15" x14ac:dyDescent="0.3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f t="array" ref="O91">_xlfn.IFS(orders[[#This Row],[Customer Gender]]="M","Male", orders[[#This Row],[Customer Gender]]="F","Female", orders[[#This Row],[Customer Gender]]="O","Other", TRUE,"Unknown")</f>
        <v>Female</v>
      </c>
    </row>
    <row r="92" spans="1:15" x14ac:dyDescent="0.3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f t="array" ref="O92">_xlfn.IFS(orders[[#This Row],[Customer Gender]]="M","Male", orders[[#This Row],[Customer Gender]]="F","Female", orders[[#This Row],[Customer Gender]]="O","Other", TRUE,"Unknown")</f>
        <v>Unknown</v>
      </c>
    </row>
    <row r="93" spans="1:15" x14ac:dyDescent="0.3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f t="array" ref="O93">_xlfn.IFS(orders[[#This Row],[Customer Gender]]="M","Male", orders[[#This Row],[Customer Gender]]="F","Female", orders[[#This Row],[Customer Gender]]="O","Other", TRUE,"Unknown")</f>
        <v>Female</v>
      </c>
    </row>
    <row r="94" spans="1:15" x14ac:dyDescent="0.3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f t="array" ref="O94">_xlfn.IFS(orders[[#This Row],[Customer Gender]]="M","Male", orders[[#This Row],[Customer Gender]]="F","Female", orders[[#This Row],[Customer Gender]]="O","Other", TRUE,"Unknown")</f>
        <v>Male</v>
      </c>
    </row>
    <row r="95" spans="1:15" x14ac:dyDescent="0.3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f t="array" ref="O95">_xlfn.IFS(orders[[#This Row],[Customer Gender]]="M","Male", orders[[#This Row],[Customer Gender]]="F","Female", orders[[#This Row],[Customer Gender]]="O","Other", TRUE,"Unknown")</f>
        <v>Unknown</v>
      </c>
    </row>
    <row r="96" spans="1:15" x14ac:dyDescent="0.3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f t="array" ref="O96">_xlfn.IFS(orders[[#This Row],[Customer Gender]]="M","Male", orders[[#This Row],[Customer Gender]]="F","Female", orders[[#This Row],[Customer Gender]]="O","Other", TRUE,"Unknown")</f>
        <v>Female</v>
      </c>
    </row>
    <row r="97" spans="1:15" x14ac:dyDescent="0.3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f t="array" ref="O97">_xlfn.IFS(orders[[#This Row],[Customer Gender]]="M","Male", orders[[#This Row],[Customer Gender]]="F","Female", orders[[#This Row],[Customer Gender]]="O","Other", TRUE,"Unknown")</f>
        <v>Female</v>
      </c>
    </row>
    <row r="98" spans="1:15" x14ac:dyDescent="0.3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f t="array" ref="O98">_xlfn.IFS(orders[[#This Row],[Customer Gender]]="M","Male", orders[[#This Row],[Customer Gender]]="F","Female", orders[[#This Row],[Customer Gender]]="O","Other", TRUE,"Unknown")</f>
        <v>Male</v>
      </c>
    </row>
    <row r="99" spans="1:15" x14ac:dyDescent="0.3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f t="array" ref="O99">_xlfn.IFS(orders[[#This Row],[Customer Gender]]="M","Male", orders[[#This Row],[Customer Gender]]="F","Female", orders[[#This Row],[Customer Gender]]="O","Other", TRUE,"Unknown")</f>
        <v>Male</v>
      </c>
    </row>
    <row r="100" spans="1:15" x14ac:dyDescent="0.3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f t="array" ref="O100">_xlfn.IFS(orders[[#This Row],[Customer Gender]]="M","Male", orders[[#This Row],[Customer Gender]]="F","Female", orders[[#This Row],[Customer Gender]]="O","Other", TRUE,"Unknown")</f>
        <v>Male</v>
      </c>
    </row>
    <row r="101" spans="1:15" x14ac:dyDescent="0.3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f t="array" ref="O101">_xlfn.IFS(orders[[#This Row],[Customer Gender]]="M","Male", orders[[#This Row],[Customer Gender]]="F","Female", orders[[#This Row],[Customer Gender]]="O","Other", TRUE,"Unknown")</f>
        <v>Female</v>
      </c>
    </row>
    <row r="102" spans="1:15" x14ac:dyDescent="0.3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f t="array" ref="O102">_xlfn.IFS(orders[[#This Row],[Customer Gender]]="M","Male", orders[[#This Row],[Customer Gender]]="F","Female", orders[[#This Row],[Customer Gender]]="O","Other", TRUE,"Unknown")</f>
        <v>Male</v>
      </c>
    </row>
    <row r="103" spans="1:15" x14ac:dyDescent="0.3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f t="array" ref="O103">_xlfn.IFS(orders[[#This Row],[Customer Gender]]="M","Male", orders[[#This Row],[Customer Gender]]="F","Female", orders[[#This Row],[Customer Gender]]="O","Other", TRUE,"Unknown")</f>
        <v>Male</v>
      </c>
    </row>
    <row r="104" spans="1:15" x14ac:dyDescent="0.3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f t="array" ref="O104">_xlfn.IFS(orders[[#This Row],[Customer Gender]]="M","Male", orders[[#This Row],[Customer Gender]]="F","Female", orders[[#This Row],[Customer Gender]]="O","Other", TRUE,"Unknown")</f>
        <v>Female</v>
      </c>
    </row>
    <row r="105" spans="1:15" x14ac:dyDescent="0.3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f t="array" ref="O105">_xlfn.IFS(orders[[#This Row],[Customer Gender]]="M","Male", orders[[#This Row],[Customer Gender]]="F","Female", orders[[#This Row],[Customer Gender]]="O","Other", TRUE,"Unknown")</f>
        <v>Male</v>
      </c>
    </row>
    <row r="106" spans="1:15" x14ac:dyDescent="0.3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f t="array" ref="O106">_xlfn.IFS(orders[[#This Row],[Customer Gender]]="M","Male", orders[[#This Row],[Customer Gender]]="F","Female", orders[[#This Row],[Customer Gender]]="O","Other", TRUE,"Unknown")</f>
        <v>Female</v>
      </c>
    </row>
    <row r="107" spans="1:15" x14ac:dyDescent="0.3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f t="array" ref="O107">_xlfn.IFS(orders[[#This Row],[Customer Gender]]="M","Male", orders[[#This Row],[Customer Gender]]="F","Female", orders[[#This Row],[Customer Gender]]="O","Other", TRUE,"Unknown")</f>
        <v>Female</v>
      </c>
    </row>
    <row r="108" spans="1:15" x14ac:dyDescent="0.3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f t="array" ref="O108">_xlfn.IFS(orders[[#This Row],[Customer Gender]]="M","Male", orders[[#This Row],[Customer Gender]]="F","Female", orders[[#This Row],[Customer Gender]]="O","Other", TRUE,"Unknown")</f>
        <v>Female</v>
      </c>
    </row>
    <row r="109" spans="1:15" x14ac:dyDescent="0.3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f t="array" ref="O109">_xlfn.IFS(orders[[#This Row],[Customer Gender]]="M","Male", orders[[#This Row],[Customer Gender]]="F","Female", orders[[#This Row],[Customer Gender]]="O","Other", TRUE,"Unknown")</f>
        <v>Male</v>
      </c>
    </row>
    <row r="110" spans="1:15" x14ac:dyDescent="0.3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f t="array" ref="O110">_xlfn.IFS(orders[[#This Row],[Customer Gender]]="M","Male", orders[[#This Row],[Customer Gender]]="F","Female", orders[[#This Row],[Customer Gender]]="O","Other", TRUE,"Unknown")</f>
        <v>Male</v>
      </c>
    </row>
    <row r="111" spans="1:15" x14ac:dyDescent="0.3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f t="array" ref="O111">_xlfn.IFS(orders[[#This Row],[Customer Gender]]="M","Male", orders[[#This Row],[Customer Gender]]="F","Female", orders[[#This Row],[Customer Gender]]="O","Other", TRUE,"Unknown")</f>
        <v>Female</v>
      </c>
    </row>
    <row r="112" spans="1:15" x14ac:dyDescent="0.3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f t="array" ref="O112">_xlfn.IFS(orders[[#This Row],[Customer Gender]]="M","Male", orders[[#This Row],[Customer Gender]]="F","Female", orders[[#This Row],[Customer Gender]]="O","Other", TRUE,"Unknown")</f>
        <v>Male</v>
      </c>
    </row>
    <row r="113" spans="1:15" x14ac:dyDescent="0.3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f t="array" ref="O113">_xlfn.IFS(orders[[#This Row],[Customer Gender]]="M","Male", orders[[#This Row],[Customer Gender]]="F","Female", orders[[#This Row],[Customer Gender]]="O","Other", TRUE,"Unknown")</f>
        <v>Female</v>
      </c>
    </row>
    <row r="114" spans="1:15" x14ac:dyDescent="0.3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f t="array" ref="O114">_xlfn.IFS(orders[[#This Row],[Customer Gender]]="M","Male", orders[[#This Row],[Customer Gender]]="F","Female", orders[[#This Row],[Customer Gender]]="O","Other", TRUE,"Unknown")</f>
        <v>Male</v>
      </c>
    </row>
    <row r="115" spans="1:15" x14ac:dyDescent="0.3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f t="array" ref="O115">_xlfn.IFS(orders[[#This Row],[Customer Gender]]="M","Male", orders[[#This Row],[Customer Gender]]="F","Female", orders[[#This Row],[Customer Gender]]="O","Other", TRUE,"Unknown")</f>
        <v>Male</v>
      </c>
    </row>
    <row r="116" spans="1:15" x14ac:dyDescent="0.3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f t="array" ref="O116">_xlfn.IFS(orders[[#This Row],[Customer Gender]]="M","Male", orders[[#This Row],[Customer Gender]]="F","Female", orders[[#This Row],[Customer Gender]]="O","Other", TRUE,"Unknown")</f>
        <v>Male</v>
      </c>
    </row>
    <row r="117" spans="1:15" x14ac:dyDescent="0.3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f t="array" ref="O117">_xlfn.IFS(orders[[#This Row],[Customer Gender]]="M","Male", orders[[#This Row],[Customer Gender]]="F","Female", orders[[#This Row],[Customer Gender]]="O","Other", TRUE,"Unknown")</f>
        <v>Female</v>
      </c>
    </row>
    <row r="118" spans="1:15" x14ac:dyDescent="0.3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f t="array" ref="O118">_xlfn.IFS(orders[[#This Row],[Customer Gender]]="M","Male", orders[[#This Row],[Customer Gender]]="F","Female", orders[[#This Row],[Customer Gender]]="O","Other", TRUE,"Unknown")</f>
        <v>Female</v>
      </c>
    </row>
    <row r="119" spans="1:15" x14ac:dyDescent="0.3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f t="array" ref="O119">_xlfn.IFS(orders[[#This Row],[Customer Gender]]="M","Male", orders[[#This Row],[Customer Gender]]="F","Female", orders[[#This Row],[Customer Gender]]="O","Other", TRUE,"Unknown")</f>
        <v>Female</v>
      </c>
    </row>
    <row r="120" spans="1:15" x14ac:dyDescent="0.3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f t="array" ref="O120">_xlfn.IFS(orders[[#This Row],[Customer Gender]]="M","Male", orders[[#This Row],[Customer Gender]]="F","Female", orders[[#This Row],[Customer Gender]]="O","Other", TRUE,"Unknown")</f>
        <v>Male</v>
      </c>
    </row>
    <row r="121" spans="1:15" x14ac:dyDescent="0.3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f t="array" ref="O121">_xlfn.IFS(orders[[#This Row],[Customer Gender]]="M","Male", orders[[#This Row],[Customer Gender]]="F","Female", orders[[#This Row],[Customer Gender]]="O","Other", TRUE,"Unknown")</f>
        <v>Female</v>
      </c>
    </row>
    <row r="122" spans="1:15" x14ac:dyDescent="0.3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f t="array" ref="O122">_xlfn.IFS(orders[[#This Row],[Customer Gender]]="M","Male", orders[[#This Row],[Customer Gender]]="F","Female", orders[[#This Row],[Customer Gender]]="O","Other", TRUE,"Unknown")</f>
        <v>Unknown</v>
      </c>
    </row>
    <row r="123" spans="1:15" x14ac:dyDescent="0.3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f t="array" ref="O123">_xlfn.IFS(orders[[#This Row],[Customer Gender]]="M","Male", orders[[#This Row],[Customer Gender]]="F","Female", orders[[#This Row],[Customer Gender]]="O","Other", TRUE,"Unknown")</f>
        <v>Male</v>
      </c>
    </row>
    <row r="124" spans="1:15" x14ac:dyDescent="0.3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f t="array" ref="O124">_xlfn.IFS(orders[[#This Row],[Customer Gender]]="M","Male", orders[[#This Row],[Customer Gender]]="F","Female", orders[[#This Row],[Customer Gender]]="O","Other", TRUE,"Unknown")</f>
        <v>Female</v>
      </c>
    </row>
    <row r="125" spans="1:15" x14ac:dyDescent="0.3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f t="array" ref="O125">_xlfn.IFS(orders[[#This Row],[Customer Gender]]="M","Male", orders[[#This Row],[Customer Gender]]="F","Female", orders[[#This Row],[Customer Gender]]="O","Other", TRUE,"Unknown")</f>
        <v>Female</v>
      </c>
    </row>
    <row r="126" spans="1:15" x14ac:dyDescent="0.3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f t="array" ref="O126">_xlfn.IFS(orders[[#This Row],[Customer Gender]]="M","Male", orders[[#This Row],[Customer Gender]]="F","Female", orders[[#This Row],[Customer Gender]]="O","Other", TRUE,"Unknown")</f>
        <v>Male</v>
      </c>
    </row>
    <row r="127" spans="1:15" x14ac:dyDescent="0.3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f t="array" ref="O127">_xlfn.IFS(orders[[#This Row],[Customer Gender]]="M","Male", orders[[#This Row],[Customer Gender]]="F","Female", orders[[#This Row],[Customer Gender]]="O","Other", TRUE,"Unknown")</f>
        <v>Male</v>
      </c>
    </row>
    <row r="128" spans="1:15" x14ac:dyDescent="0.3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f t="array" ref="O128">_xlfn.IFS(orders[[#This Row],[Customer Gender]]="M","Male", orders[[#This Row],[Customer Gender]]="F","Female", orders[[#This Row],[Customer Gender]]="O","Other", TRUE,"Unknown")</f>
        <v>Female</v>
      </c>
    </row>
    <row r="129" spans="1:15" x14ac:dyDescent="0.3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f t="array" ref="O129">_xlfn.IFS(orders[[#This Row],[Customer Gender]]="M","Male", orders[[#This Row],[Customer Gender]]="F","Female", orders[[#This Row],[Customer Gender]]="O","Other", TRUE,"Unknown")</f>
        <v>Male</v>
      </c>
    </row>
    <row r="130" spans="1:15" x14ac:dyDescent="0.3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f t="array" ref="O130">_xlfn.IFS(orders[[#This Row],[Customer Gender]]="M","Male", orders[[#This Row],[Customer Gender]]="F","Female", orders[[#This Row],[Customer Gender]]="O","Other", TRUE,"Unknown")</f>
        <v>Male</v>
      </c>
    </row>
    <row r="131" spans="1:15" x14ac:dyDescent="0.3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f t="array" ref="O131">_xlfn.IFS(orders[[#This Row],[Customer Gender]]="M","Male", orders[[#This Row],[Customer Gender]]="F","Female", orders[[#This Row],[Customer Gender]]="O","Other", TRUE,"Unknown")</f>
        <v>Male</v>
      </c>
    </row>
    <row r="132" spans="1:15" x14ac:dyDescent="0.3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f t="array" ref="O132">_xlfn.IFS(orders[[#This Row],[Customer Gender]]="M","Male", orders[[#This Row],[Customer Gender]]="F","Female", orders[[#This Row],[Customer Gender]]="O","Other", TRUE,"Unknown")</f>
        <v>Other</v>
      </c>
    </row>
    <row r="133" spans="1:15" x14ac:dyDescent="0.3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f t="array" ref="O133">_xlfn.IFS(orders[[#This Row],[Customer Gender]]="M","Male", orders[[#This Row],[Customer Gender]]="F","Female", orders[[#This Row],[Customer Gender]]="O","Other", TRUE,"Unknown")</f>
        <v>Female</v>
      </c>
    </row>
    <row r="134" spans="1:15" x14ac:dyDescent="0.3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f t="array" ref="O134">_xlfn.IFS(orders[[#This Row],[Customer Gender]]="M","Male", orders[[#This Row],[Customer Gender]]="F","Female", orders[[#This Row],[Customer Gender]]="O","Other", TRUE,"Unknown")</f>
        <v>Male</v>
      </c>
    </row>
    <row r="135" spans="1:15" x14ac:dyDescent="0.3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f t="array" ref="O135">_xlfn.IFS(orders[[#This Row],[Customer Gender]]="M","Male", orders[[#This Row],[Customer Gender]]="F","Female", orders[[#This Row],[Customer Gender]]="O","Other", TRUE,"Unknown")</f>
        <v>Other</v>
      </c>
    </row>
    <row r="136" spans="1:15" x14ac:dyDescent="0.3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f t="array" ref="O136">_xlfn.IFS(orders[[#This Row],[Customer Gender]]="M","Male", orders[[#This Row],[Customer Gender]]="F","Female", orders[[#This Row],[Customer Gender]]="O","Other", TRUE,"Unknown")</f>
        <v>Female</v>
      </c>
    </row>
    <row r="137" spans="1:15" x14ac:dyDescent="0.3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f t="array" ref="O137">_xlfn.IFS(orders[[#This Row],[Customer Gender]]="M","Male", orders[[#This Row],[Customer Gender]]="F","Female", orders[[#This Row],[Customer Gender]]="O","Other", TRUE,"Unknown")</f>
        <v>Female</v>
      </c>
    </row>
    <row r="138" spans="1:15" x14ac:dyDescent="0.3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f t="array" ref="O138">_xlfn.IFS(orders[[#This Row],[Customer Gender]]="M","Male", orders[[#This Row],[Customer Gender]]="F","Female", orders[[#This Row],[Customer Gender]]="O","Other", TRUE,"Unknown")</f>
        <v>Female</v>
      </c>
    </row>
    <row r="139" spans="1:15" x14ac:dyDescent="0.3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f t="array" ref="O139">_xlfn.IFS(orders[[#This Row],[Customer Gender]]="M","Male", orders[[#This Row],[Customer Gender]]="F","Female", orders[[#This Row],[Customer Gender]]="O","Other", TRUE,"Unknown")</f>
        <v>Female</v>
      </c>
    </row>
    <row r="140" spans="1:15" x14ac:dyDescent="0.3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f t="array" ref="O140">_xlfn.IFS(orders[[#This Row],[Customer Gender]]="M","Male", orders[[#This Row],[Customer Gender]]="F","Female", orders[[#This Row],[Customer Gender]]="O","Other", TRUE,"Unknown")</f>
        <v>Female</v>
      </c>
    </row>
    <row r="141" spans="1:15" x14ac:dyDescent="0.3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f t="array" ref="O141">_xlfn.IFS(orders[[#This Row],[Customer Gender]]="M","Male", orders[[#This Row],[Customer Gender]]="F","Female", orders[[#This Row],[Customer Gender]]="O","Other", TRUE,"Unknown")</f>
        <v>Male</v>
      </c>
    </row>
    <row r="142" spans="1:15" x14ac:dyDescent="0.3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f t="array" ref="O142">_xlfn.IFS(orders[[#This Row],[Customer Gender]]="M","Male", orders[[#This Row],[Customer Gender]]="F","Female", orders[[#This Row],[Customer Gender]]="O","Other", TRUE,"Unknown")</f>
        <v>Male</v>
      </c>
    </row>
    <row r="143" spans="1:15" x14ac:dyDescent="0.3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f t="array" ref="O143">_xlfn.IFS(orders[[#This Row],[Customer Gender]]="M","Male", orders[[#This Row],[Customer Gender]]="F","Female", orders[[#This Row],[Customer Gender]]="O","Other", TRUE,"Unknown")</f>
        <v>Unknown</v>
      </c>
    </row>
    <row r="144" spans="1:15" x14ac:dyDescent="0.3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f t="array" ref="O144">_xlfn.IFS(orders[[#This Row],[Customer Gender]]="M","Male", orders[[#This Row],[Customer Gender]]="F","Female", orders[[#This Row],[Customer Gender]]="O","Other", TRUE,"Unknown")</f>
        <v>Female</v>
      </c>
    </row>
    <row r="145" spans="1:15" x14ac:dyDescent="0.3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f t="array" ref="O145">_xlfn.IFS(orders[[#This Row],[Customer Gender]]="M","Male", orders[[#This Row],[Customer Gender]]="F","Female", orders[[#This Row],[Customer Gender]]="O","Other", TRUE,"Unknown")</f>
        <v>Unknown</v>
      </c>
    </row>
    <row r="146" spans="1:15" x14ac:dyDescent="0.3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f t="array" ref="O146">_xlfn.IFS(orders[[#This Row],[Customer Gender]]="M","Male", orders[[#This Row],[Customer Gender]]="F","Female", orders[[#This Row],[Customer Gender]]="O","Other", TRUE,"Unknown")</f>
        <v>Female</v>
      </c>
    </row>
    <row r="147" spans="1:15" x14ac:dyDescent="0.3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f t="array" ref="O147">_xlfn.IFS(orders[[#This Row],[Customer Gender]]="M","Male", orders[[#This Row],[Customer Gender]]="F","Female", orders[[#This Row],[Customer Gender]]="O","Other", TRUE,"Unknown")</f>
        <v>Male</v>
      </c>
    </row>
    <row r="148" spans="1:15" x14ac:dyDescent="0.3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f t="array" ref="O148">_xlfn.IFS(orders[[#This Row],[Customer Gender]]="M","Male", orders[[#This Row],[Customer Gender]]="F","Female", orders[[#This Row],[Customer Gender]]="O","Other", TRUE,"Unknown")</f>
        <v>Male</v>
      </c>
    </row>
    <row r="149" spans="1:15" x14ac:dyDescent="0.3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f t="array" ref="O149">_xlfn.IFS(orders[[#This Row],[Customer Gender]]="M","Male", orders[[#This Row],[Customer Gender]]="F","Female", orders[[#This Row],[Customer Gender]]="O","Other", TRUE,"Unknown")</f>
        <v>Male</v>
      </c>
    </row>
    <row r="150" spans="1:15" x14ac:dyDescent="0.3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f t="array" ref="O150">_xlfn.IFS(orders[[#This Row],[Customer Gender]]="M","Male", orders[[#This Row],[Customer Gender]]="F","Female", orders[[#This Row],[Customer Gender]]="O","Other", TRUE,"Unknown")</f>
        <v>Male</v>
      </c>
    </row>
    <row r="151" spans="1:15" x14ac:dyDescent="0.3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f t="array" ref="O151">_xlfn.IFS(orders[[#This Row],[Customer Gender]]="M","Male", orders[[#This Row],[Customer Gender]]="F","Female", orders[[#This Row],[Customer Gender]]="O","Other", TRUE,"Unknown")</f>
        <v>Female</v>
      </c>
    </row>
    <row r="152" spans="1:15" x14ac:dyDescent="0.3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f t="array" ref="O152">_xlfn.IFS(orders[[#This Row],[Customer Gender]]="M","Male", orders[[#This Row],[Customer Gender]]="F","Female", orders[[#This Row],[Customer Gender]]="O","Other", TRUE,"Unknown")</f>
        <v>Male</v>
      </c>
    </row>
    <row r="153" spans="1:15" x14ac:dyDescent="0.3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f t="array" ref="O153">_xlfn.IFS(orders[[#This Row],[Customer Gender]]="M","Male", orders[[#This Row],[Customer Gender]]="F","Female", orders[[#This Row],[Customer Gender]]="O","Other", TRUE,"Unknown")</f>
        <v>Male</v>
      </c>
    </row>
    <row r="154" spans="1:15" x14ac:dyDescent="0.3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f t="array" ref="O154">_xlfn.IFS(orders[[#This Row],[Customer Gender]]="M","Male", orders[[#This Row],[Customer Gender]]="F","Female", orders[[#This Row],[Customer Gender]]="O","Other", TRUE,"Unknown")</f>
        <v>Female</v>
      </c>
    </row>
    <row r="155" spans="1:15" x14ac:dyDescent="0.3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f t="array" ref="O155">_xlfn.IFS(orders[[#This Row],[Customer Gender]]="M","Male", orders[[#This Row],[Customer Gender]]="F","Female", orders[[#This Row],[Customer Gender]]="O","Other", TRUE,"Unknown")</f>
        <v>Female</v>
      </c>
    </row>
    <row r="156" spans="1:15" x14ac:dyDescent="0.3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f t="array" ref="O156">_xlfn.IFS(orders[[#This Row],[Customer Gender]]="M","Male", orders[[#This Row],[Customer Gender]]="F","Female", orders[[#This Row],[Customer Gender]]="O","Other", TRUE,"Unknown")</f>
        <v>Female</v>
      </c>
    </row>
    <row r="157" spans="1:15" x14ac:dyDescent="0.3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f t="array" ref="O157">_xlfn.IFS(orders[[#This Row],[Customer Gender]]="M","Male", orders[[#This Row],[Customer Gender]]="F","Female", orders[[#This Row],[Customer Gender]]="O","Other", TRUE,"Unknown")</f>
        <v>Female</v>
      </c>
    </row>
    <row r="158" spans="1:15" x14ac:dyDescent="0.3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f t="array" ref="O158">_xlfn.IFS(orders[[#This Row],[Customer Gender]]="M","Male", orders[[#This Row],[Customer Gender]]="F","Female", orders[[#This Row],[Customer Gender]]="O","Other", TRUE,"Unknown")</f>
        <v>Female</v>
      </c>
    </row>
    <row r="159" spans="1:15" x14ac:dyDescent="0.3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f t="array" ref="O159">_xlfn.IFS(orders[[#This Row],[Customer Gender]]="M","Male", orders[[#This Row],[Customer Gender]]="F","Female", orders[[#This Row],[Customer Gender]]="O","Other", TRUE,"Unknown")</f>
        <v>Female</v>
      </c>
    </row>
    <row r="160" spans="1:15" x14ac:dyDescent="0.3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f t="array" ref="O160">_xlfn.IFS(orders[[#This Row],[Customer Gender]]="M","Male", orders[[#This Row],[Customer Gender]]="F","Female", orders[[#This Row],[Customer Gender]]="O","Other", TRUE,"Unknown")</f>
        <v>Female</v>
      </c>
    </row>
    <row r="161" spans="1:15" x14ac:dyDescent="0.3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f t="array" ref="O161">_xlfn.IFS(orders[[#This Row],[Customer Gender]]="M","Male", orders[[#This Row],[Customer Gender]]="F","Female", orders[[#This Row],[Customer Gender]]="O","Other", TRUE,"Unknown")</f>
        <v>Male</v>
      </c>
    </row>
    <row r="162" spans="1:15" x14ac:dyDescent="0.3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f t="array" ref="O162">_xlfn.IFS(orders[[#This Row],[Customer Gender]]="M","Male", orders[[#This Row],[Customer Gender]]="F","Female", orders[[#This Row],[Customer Gender]]="O","Other", TRUE,"Unknown")</f>
        <v>Female</v>
      </c>
    </row>
    <row r="163" spans="1:15" x14ac:dyDescent="0.3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f t="array" ref="O163">_xlfn.IFS(orders[[#This Row],[Customer Gender]]="M","Male", orders[[#This Row],[Customer Gender]]="F","Female", orders[[#This Row],[Customer Gender]]="O","Other", TRUE,"Unknown")</f>
        <v>Male</v>
      </c>
    </row>
    <row r="164" spans="1:15" x14ac:dyDescent="0.3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f t="array" ref="O164">_xlfn.IFS(orders[[#This Row],[Customer Gender]]="M","Male", orders[[#This Row],[Customer Gender]]="F","Female", orders[[#This Row],[Customer Gender]]="O","Other", TRUE,"Unknown")</f>
        <v>Unknown</v>
      </c>
    </row>
    <row r="165" spans="1:15" x14ac:dyDescent="0.3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f t="array" ref="O165">_xlfn.IFS(orders[[#This Row],[Customer Gender]]="M","Male", orders[[#This Row],[Customer Gender]]="F","Female", orders[[#This Row],[Customer Gender]]="O","Other", TRUE,"Unknown")</f>
        <v>Female</v>
      </c>
    </row>
    <row r="166" spans="1:15" x14ac:dyDescent="0.3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f t="array" ref="O166">_xlfn.IFS(orders[[#This Row],[Customer Gender]]="M","Male", orders[[#This Row],[Customer Gender]]="F","Female", orders[[#This Row],[Customer Gender]]="O","Other", TRUE,"Unknown")</f>
        <v>Male</v>
      </c>
    </row>
    <row r="167" spans="1:15" x14ac:dyDescent="0.3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f t="array" ref="O167">_xlfn.IFS(orders[[#This Row],[Customer Gender]]="M","Male", orders[[#This Row],[Customer Gender]]="F","Female", orders[[#This Row],[Customer Gender]]="O","Other", TRUE,"Unknown")</f>
        <v>Female</v>
      </c>
    </row>
    <row r="168" spans="1:15" x14ac:dyDescent="0.3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f t="array" ref="O168">_xlfn.IFS(orders[[#This Row],[Customer Gender]]="M","Male", orders[[#This Row],[Customer Gender]]="F","Female", orders[[#This Row],[Customer Gender]]="O","Other", TRUE,"Unknown")</f>
        <v>Female</v>
      </c>
    </row>
    <row r="169" spans="1:15" x14ac:dyDescent="0.3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f t="array" ref="O169">_xlfn.IFS(orders[[#This Row],[Customer Gender]]="M","Male", orders[[#This Row],[Customer Gender]]="F","Female", orders[[#This Row],[Customer Gender]]="O","Other", TRUE,"Unknown")</f>
        <v>Female</v>
      </c>
    </row>
    <row r="170" spans="1:15" x14ac:dyDescent="0.3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f t="array" ref="O170">_xlfn.IFS(orders[[#This Row],[Customer Gender]]="M","Male", orders[[#This Row],[Customer Gender]]="F","Female", orders[[#This Row],[Customer Gender]]="O","Other", TRUE,"Unknown")</f>
        <v>Female</v>
      </c>
    </row>
    <row r="171" spans="1:15" x14ac:dyDescent="0.3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f t="array" ref="O171">_xlfn.IFS(orders[[#This Row],[Customer Gender]]="M","Male", orders[[#This Row],[Customer Gender]]="F","Female", orders[[#This Row],[Customer Gender]]="O","Other", TRUE,"Unknown")</f>
        <v>Female</v>
      </c>
    </row>
    <row r="172" spans="1:15" x14ac:dyDescent="0.3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f t="array" ref="O172">_xlfn.IFS(orders[[#This Row],[Customer Gender]]="M","Male", orders[[#This Row],[Customer Gender]]="F","Female", orders[[#This Row],[Customer Gender]]="O","Other", TRUE,"Unknown")</f>
        <v>Female</v>
      </c>
    </row>
    <row r="173" spans="1:15" x14ac:dyDescent="0.3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f t="array" ref="O173">_xlfn.IFS(orders[[#This Row],[Customer Gender]]="M","Male", orders[[#This Row],[Customer Gender]]="F","Female", orders[[#This Row],[Customer Gender]]="O","Other", TRUE,"Unknown")</f>
        <v>Male</v>
      </c>
    </row>
    <row r="174" spans="1:15" x14ac:dyDescent="0.3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f t="array" ref="O174">_xlfn.IFS(orders[[#This Row],[Customer Gender]]="M","Male", orders[[#This Row],[Customer Gender]]="F","Female", orders[[#This Row],[Customer Gender]]="O","Other", TRUE,"Unknown")</f>
        <v>Male</v>
      </c>
    </row>
    <row r="175" spans="1:15" x14ac:dyDescent="0.3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f t="array" ref="O175">_xlfn.IFS(orders[[#This Row],[Customer Gender]]="M","Male", orders[[#This Row],[Customer Gender]]="F","Female", orders[[#This Row],[Customer Gender]]="O","Other", TRUE,"Unknown")</f>
        <v>Female</v>
      </c>
    </row>
    <row r="176" spans="1:15" x14ac:dyDescent="0.3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f t="array" ref="O176">_xlfn.IFS(orders[[#This Row],[Customer Gender]]="M","Male", orders[[#This Row],[Customer Gender]]="F","Female", orders[[#This Row],[Customer Gender]]="O","Other", TRUE,"Unknown")</f>
        <v>Female</v>
      </c>
    </row>
    <row r="177" spans="1:15" x14ac:dyDescent="0.3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f t="array" ref="O177">_xlfn.IFS(orders[[#This Row],[Customer Gender]]="M","Male", orders[[#This Row],[Customer Gender]]="F","Female", orders[[#This Row],[Customer Gender]]="O","Other", TRUE,"Unknown")</f>
        <v>Female</v>
      </c>
    </row>
    <row r="178" spans="1:15" x14ac:dyDescent="0.3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f t="array" ref="O178">_xlfn.IFS(orders[[#This Row],[Customer Gender]]="M","Male", orders[[#This Row],[Customer Gender]]="F","Female", orders[[#This Row],[Customer Gender]]="O","Other", TRUE,"Unknown")</f>
        <v>Female</v>
      </c>
    </row>
    <row r="179" spans="1:15" x14ac:dyDescent="0.3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f t="array" ref="O179">_xlfn.IFS(orders[[#This Row],[Customer Gender]]="M","Male", orders[[#This Row],[Customer Gender]]="F","Female", orders[[#This Row],[Customer Gender]]="O","Other", TRUE,"Unknown")</f>
        <v>Male</v>
      </c>
    </row>
    <row r="180" spans="1:15" x14ac:dyDescent="0.3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f t="array" ref="O180">_xlfn.IFS(orders[[#This Row],[Customer Gender]]="M","Male", orders[[#This Row],[Customer Gender]]="F","Female", orders[[#This Row],[Customer Gender]]="O","Other", TRUE,"Unknown")</f>
        <v>Female</v>
      </c>
    </row>
    <row r="181" spans="1:15" x14ac:dyDescent="0.3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f t="array" ref="O181">_xlfn.IFS(orders[[#This Row],[Customer Gender]]="M","Male", orders[[#This Row],[Customer Gender]]="F","Female", orders[[#This Row],[Customer Gender]]="O","Other", TRUE,"Unknown")</f>
        <v>Unknown</v>
      </c>
    </row>
    <row r="182" spans="1:15" x14ac:dyDescent="0.3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f t="array" ref="O182">_xlfn.IFS(orders[[#This Row],[Customer Gender]]="M","Male", orders[[#This Row],[Customer Gender]]="F","Female", orders[[#This Row],[Customer Gender]]="O","Other", TRUE,"Unknown")</f>
        <v>Female</v>
      </c>
    </row>
    <row r="183" spans="1:15" x14ac:dyDescent="0.3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f t="array" ref="O183">_xlfn.IFS(orders[[#This Row],[Customer Gender]]="M","Male", orders[[#This Row],[Customer Gender]]="F","Female", orders[[#This Row],[Customer Gender]]="O","Other", TRUE,"Unknown")</f>
        <v>Male</v>
      </c>
    </row>
    <row r="184" spans="1:15" x14ac:dyDescent="0.3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f t="array" ref="O184">_xlfn.IFS(orders[[#This Row],[Customer Gender]]="M","Male", orders[[#This Row],[Customer Gender]]="F","Female", orders[[#This Row],[Customer Gender]]="O","Other", TRUE,"Unknown")</f>
        <v>Female</v>
      </c>
    </row>
    <row r="185" spans="1:15" x14ac:dyDescent="0.3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f t="array" ref="O185">_xlfn.IFS(orders[[#This Row],[Customer Gender]]="M","Male", orders[[#This Row],[Customer Gender]]="F","Female", orders[[#This Row],[Customer Gender]]="O","Other", TRUE,"Unknown")</f>
        <v>Female</v>
      </c>
    </row>
    <row r="186" spans="1:15" x14ac:dyDescent="0.3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f t="array" ref="O186">_xlfn.IFS(orders[[#This Row],[Customer Gender]]="M","Male", orders[[#This Row],[Customer Gender]]="F","Female", orders[[#This Row],[Customer Gender]]="O","Other", TRUE,"Unknown")</f>
        <v>Male</v>
      </c>
    </row>
    <row r="187" spans="1:15" x14ac:dyDescent="0.3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f t="array" ref="O187">_xlfn.IFS(orders[[#This Row],[Customer Gender]]="M","Male", orders[[#This Row],[Customer Gender]]="F","Female", orders[[#This Row],[Customer Gender]]="O","Other", TRUE,"Unknown")</f>
        <v>Male</v>
      </c>
    </row>
    <row r="188" spans="1:15" x14ac:dyDescent="0.3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f t="array" ref="O188">_xlfn.IFS(orders[[#This Row],[Customer Gender]]="M","Male", orders[[#This Row],[Customer Gender]]="F","Female", orders[[#This Row],[Customer Gender]]="O","Other", TRUE,"Unknown")</f>
        <v>Female</v>
      </c>
    </row>
    <row r="189" spans="1:15" x14ac:dyDescent="0.3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f t="array" ref="O189">_xlfn.IFS(orders[[#This Row],[Customer Gender]]="M","Male", orders[[#This Row],[Customer Gender]]="F","Female", orders[[#This Row],[Customer Gender]]="O","Other", TRUE,"Unknown")</f>
        <v>Female</v>
      </c>
    </row>
    <row r="190" spans="1:15" x14ac:dyDescent="0.3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f t="array" ref="O190">_xlfn.IFS(orders[[#This Row],[Customer Gender]]="M","Male", orders[[#This Row],[Customer Gender]]="F","Female", orders[[#This Row],[Customer Gender]]="O","Other", TRUE,"Unknown")</f>
        <v>Male</v>
      </c>
    </row>
    <row r="191" spans="1:15" x14ac:dyDescent="0.3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f t="array" ref="O191">_xlfn.IFS(orders[[#This Row],[Customer Gender]]="M","Male", orders[[#This Row],[Customer Gender]]="F","Female", orders[[#This Row],[Customer Gender]]="O","Other", TRUE,"Unknown")</f>
        <v>Female</v>
      </c>
    </row>
    <row r="192" spans="1:15" x14ac:dyDescent="0.3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f t="array" ref="O192">_xlfn.IFS(orders[[#This Row],[Customer Gender]]="M","Male", orders[[#This Row],[Customer Gender]]="F","Female", orders[[#This Row],[Customer Gender]]="O","Other", TRUE,"Unknown")</f>
        <v>Unknown</v>
      </c>
    </row>
    <row r="193" spans="1:15" x14ac:dyDescent="0.3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f t="array" ref="O193">_xlfn.IFS(orders[[#This Row],[Customer Gender]]="M","Male", orders[[#This Row],[Customer Gender]]="F","Female", orders[[#This Row],[Customer Gender]]="O","Other", TRUE,"Unknown")</f>
        <v>Unknown</v>
      </c>
    </row>
    <row r="194" spans="1:15" x14ac:dyDescent="0.3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f t="array" ref="O194">_xlfn.IFS(orders[[#This Row],[Customer Gender]]="M","Male", orders[[#This Row],[Customer Gender]]="F","Female", orders[[#This Row],[Customer Gender]]="O","Other", TRUE,"Unknown")</f>
        <v>Male</v>
      </c>
    </row>
    <row r="195" spans="1:15" x14ac:dyDescent="0.3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f t="array" ref="O195">_xlfn.IFS(orders[[#This Row],[Customer Gender]]="M","Male", orders[[#This Row],[Customer Gender]]="F","Female", orders[[#This Row],[Customer Gender]]="O","Other", TRUE,"Unknown")</f>
        <v>Female</v>
      </c>
    </row>
    <row r="196" spans="1:15" x14ac:dyDescent="0.3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f t="array" ref="O196">_xlfn.IFS(orders[[#This Row],[Customer Gender]]="M","Male", orders[[#This Row],[Customer Gender]]="F","Female", orders[[#This Row],[Customer Gender]]="O","Other", TRUE,"Unknown")</f>
        <v>Female</v>
      </c>
    </row>
    <row r="197" spans="1:15" x14ac:dyDescent="0.3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f t="array" ref="O197">_xlfn.IFS(orders[[#This Row],[Customer Gender]]="M","Male", orders[[#This Row],[Customer Gender]]="F","Female", orders[[#This Row],[Customer Gender]]="O","Other", TRUE,"Unknown")</f>
        <v>Female</v>
      </c>
    </row>
    <row r="198" spans="1:15" x14ac:dyDescent="0.3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f t="array" ref="O198">_xlfn.IFS(orders[[#This Row],[Customer Gender]]="M","Male", orders[[#This Row],[Customer Gender]]="F","Female", orders[[#This Row],[Customer Gender]]="O","Other", TRUE,"Unknown")</f>
        <v>Female</v>
      </c>
    </row>
    <row r="199" spans="1:15" x14ac:dyDescent="0.3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f t="array" ref="O199">_xlfn.IFS(orders[[#This Row],[Customer Gender]]="M","Male", orders[[#This Row],[Customer Gender]]="F","Female", orders[[#This Row],[Customer Gender]]="O","Other", TRUE,"Unknown")</f>
        <v>Female</v>
      </c>
    </row>
    <row r="200" spans="1:15" x14ac:dyDescent="0.3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f t="array" ref="O200">_xlfn.IFS(orders[[#This Row],[Customer Gender]]="M","Male", orders[[#This Row],[Customer Gender]]="F","Female", orders[[#This Row],[Customer Gender]]="O","Other", TRUE,"Unknown")</f>
        <v>Male</v>
      </c>
    </row>
    <row r="201" spans="1:15" x14ac:dyDescent="0.3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f t="array" ref="O201">_xlfn.IFS(orders[[#This Row],[Customer Gender]]="M","Male", orders[[#This Row],[Customer Gender]]="F","Female", orders[[#This Row],[Customer Gender]]="O","Other", TRUE,"Unknown")</f>
        <v>Male</v>
      </c>
    </row>
    <row r="202" spans="1:15" x14ac:dyDescent="0.3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f t="array" ref="O202">_xlfn.IFS(orders[[#This Row],[Customer Gender]]="M","Male", orders[[#This Row],[Customer Gender]]="F","Female", orders[[#This Row],[Customer Gender]]="O","Other", TRUE,"Unknown")</f>
        <v>Male</v>
      </c>
    </row>
    <row r="203" spans="1:15" x14ac:dyDescent="0.3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f t="array" ref="O203">_xlfn.IFS(orders[[#This Row],[Customer Gender]]="M","Male", orders[[#This Row],[Customer Gender]]="F","Female", orders[[#This Row],[Customer Gender]]="O","Other", TRUE,"Unknown")</f>
        <v>Male</v>
      </c>
    </row>
    <row r="204" spans="1:15" x14ac:dyDescent="0.3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f t="array" ref="O204">_xlfn.IFS(orders[[#This Row],[Customer Gender]]="M","Male", orders[[#This Row],[Customer Gender]]="F","Female", orders[[#This Row],[Customer Gender]]="O","Other", TRUE,"Unknown")</f>
        <v>Female</v>
      </c>
    </row>
    <row r="205" spans="1:15" x14ac:dyDescent="0.3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f t="array" ref="O205">_xlfn.IFS(orders[[#This Row],[Customer Gender]]="M","Male", orders[[#This Row],[Customer Gender]]="F","Female", orders[[#This Row],[Customer Gender]]="O","Other", TRUE,"Unknown")</f>
        <v>Female</v>
      </c>
    </row>
    <row r="206" spans="1:15" x14ac:dyDescent="0.3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f t="array" ref="O206">_xlfn.IFS(orders[[#This Row],[Customer Gender]]="M","Male", orders[[#This Row],[Customer Gender]]="F","Female", orders[[#This Row],[Customer Gender]]="O","Other", TRUE,"Unknown")</f>
        <v>Female</v>
      </c>
    </row>
    <row r="207" spans="1:15" x14ac:dyDescent="0.3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f t="array" ref="O207">_xlfn.IFS(orders[[#This Row],[Customer Gender]]="M","Male", orders[[#This Row],[Customer Gender]]="F","Female", orders[[#This Row],[Customer Gender]]="O","Other", TRUE,"Unknown")</f>
        <v>Female</v>
      </c>
    </row>
    <row r="208" spans="1:15" x14ac:dyDescent="0.3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f t="array" ref="O208">_xlfn.IFS(orders[[#This Row],[Customer Gender]]="M","Male", orders[[#This Row],[Customer Gender]]="F","Female", orders[[#This Row],[Customer Gender]]="O","Other", TRUE,"Unknown")</f>
        <v>Female</v>
      </c>
    </row>
    <row r="209" spans="1:15" x14ac:dyDescent="0.3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f t="array" ref="O209">_xlfn.IFS(orders[[#This Row],[Customer Gender]]="M","Male", orders[[#This Row],[Customer Gender]]="F","Female", orders[[#This Row],[Customer Gender]]="O","Other", TRUE,"Unknown")</f>
        <v>Female</v>
      </c>
    </row>
    <row r="210" spans="1:15" x14ac:dyDescent="0.3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f t="array" ref="O210">_xlfn.IFS(orders[[#This Row],[Customer Gender]]="M","Male", orders[[#This Row],[Customer Gender]]="F","Female", orders[[#This Row],[Customer Gender]]="O","Other", TRUE,"Unknown")</f>
        <v>Female</v>
      </c>
    </row>
    <row r="211" spans="1:15" x14ac:dyDescent="0.3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f t="array" ref="O211">_xlfn.IFS(orders[[#This Row],[Customer Gender]]="M","Male", orders[[#This Row],[Customer Gender]]="F","Female", orders[[#This Row],[Customer Gender]]="O","Other", TRUE,"Unknown")</f>
        <v>Male</v>
      </c>
    </row>
    <row r="212" spans="1:15" x14ac:dyDescent="0.3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f t="array" ref="O212">_xlfn.IFS(orders[[#This Row],[Customer Gender]]="M","Male", orders[[#This Row],[Customer Gender]]="F","Female", orders[[#This Row],[Customer Gender]]="O","Other", TRUE,"Unknown")</f>
        <v>Female</v>
      </c>
    </row>
    <row r="213" spans="1:15" x14ac:dyDescent="0.3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f t="array" ref="O213">_xlfn.IFS(orders[[#This Row],[Customer Gender]]="M","Male", orders[[#This Row],[Customer Gender]]="F","Female", orders[[#This Row],[Customer Gender]]="O","Other", TRUE,"Unknown")</f>
        <v>Female</v>
      </c>
    </row>
    <row r="214" spans="1:15" x14ac:dyDescent="0.3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f t="array" ref="O214">_xlfn.IFS(orders[[#This Row],[Customer Gender]]="M","Male", orders[[#This Row],[Customer Gender]]="F","Female", orders[[#This Row],[Customer Gender]]="O","Other", TRUE,"Unknown")</f>
        <v>Male</v>
      </c>
    </row>
    <row r="215" spans="1:15" x14ac:dyDescent="0.3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f t="array" ref="O215">_xlfn.IFS(orders[[#This Row],[Customer Gender]]="M","Male", orders[[#This Row],[Customer Gender]]="F","Female", orders[[#This Row],[Customer Gender]]="O","Other", TRUE,"Unknown")</f>
        <v>Female</v>
      </c>
    </row>
    <row r="216" spans="1:15" x14ac:dyDescent="0.3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f t="array" ref="O216">_xlfn.IFS(orders[[#This Row],[Customer Gender]]="M","Male", orders[[#This Row],[Customer Gender]]="F","Female", orders[[#This Row],[Customer Gender]]="O","Other", TRUE,"Unknown")</f>
        <v>Female</v>
      </c>
    </row>
    <row r="217" spans="1:15" x14ac:dyDescent="0.3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f t="array" ref="O217">_xlfn.IFS(orders[[#This Row],[Customer Gender]]="M","Male", orders[[#This Row],[Customer Gender]]="F","Female", orders[[#This Row],[Customer Gender]]="O","Other", TRUE,"Unknown")</f>
        <v>Female</v>
      </c>
    </row>
    <row r="218" spans="1:15" x14ac:dyDescent="0.3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f t="array" ref="O218">_xlfn.IFS(orders[[#This Row],[Customer Gender]]="M","Male", orders[[#This Row],[Customer Gender]]="F","Female", orders[[#This Row],[Customer Gender]]="O","Other", TRUE,"Unknown")</f>
        <v>Female</v>
      </c>
    </row>
    <row r="219" spans="1:15" x14ac:dyDescent="0.3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f t="array" ref="O219">_xlfn.IFS(orders[[#This Row],[Customer Gender]]="M","Male", orders[[#This Row],[Customer Gender]]="F","Female", orders[[#This Row],[Customer Gender]]="O","Other", TRUE,"Unknown")</f>
        <v>Male</v>
      </c>
    </row>
    <row r="220" spans="1:15" x14ac:dyDescent="0.3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f t="array" ref="O220">_xlfn.IFS(orders[[#This Row],[Customer Gender]]="M","Male", orders[[#This Row],[Customer Gender]]="F","Female", orders[[#This Row],[Customer Gender]]="O","Other", TRUE,"Unknown")</f>
        <v>Female</v>
      </c>
    </row>
    <row r="221" spans="1:15" x14ac:dyDescent="0.3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f t="array" ref="O221">_xlfn.IFS(orders[[#This Row],[Customer Gender]]="M","Male", orders[[#This Row],[Customer Gender]]="F","Female", orders[[#This Row],[Customer Gender]]="O","Other", TRUE,"Unknown")</f>
        <v>Male</v>
      </c>
    </row>
    <row r="222" spans="1:15" x14ac:dyDescent="0.3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f t="array" ref="O222">_xlfn.IFS(orders[[#This Row],[Customer Gender]]="M","Male", orders[[#This Row],[Customer Gender]]="F","Female", orders[[#This Row],[Customer Gender]]="O","Other", TRUE,"Unknown")</f>
        <v>Unknown</v>
      </c>
    </row>
    <row r="223" spans="1:15" x14ac:dyDescent="0.3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f t="array" ref="O223">_xlfn.IFS(orders[[#This Row],[Customer Gender]]="M","Male", orders[[#This Row],[Customer Gender]]="F","Female", orders[[#This Row],[Customer Gender]]="O","Other", TRUE,"Unknown")</f>
        <v>Male</v>
      </c>
    </row>
    <row r="224" spans="1:15" x14ac:dyDescent="0.3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f t="array" ref="O224">_xlfn.IFS(orders[[#This Row],[Customer Gender]]="M","Male", orders[[#This Row],[Customer Gender]]="F","Female", orders[[#This Row],[Customer Gender]]="O","Other", TRUE,"Unknown")</f>
        <v>Female</v>
      </c>
    </row>
    <row r="225" spans="1:15" x14ac:dyDescent="0.3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f t="array" ref="O225">_xlfn.IFS(orders[[#This Row],[Customer Gender]]="M","Male", orders[[#This Row],[Customer Gender]]="F","Female", orders[[#This Row],[Customer Gender]]="O","Other", TRUE,"Unknown")</f>
        <v>Female</v>
      </c>
    </row>
    <row r="226" spans="1:15" x14ac:dyDescent="0.3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f t="array" ref="O226">_xlfn.IFS(orders[[#This Row],[Customer Gender]]="M","Male", orders[[#This Row],[Customer Gender]]="F","Female", orders[[#This Row],[Customer Gender]]="O","Other", TRUE,"Unknown")</f>
        <v>Male</v>
      </c>
    </row>
    <row r="227" spans="1:15" x14ac:dyDescent="0.3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f t="array" ref="O227">_xlfn.IFS(orders[[#This Row],[Customer Gender]]="M","Male", orders[[#This Row],[Customer Gender]]="F","Female", orders[[#This Row],[Customer Gender]]="O","Other", TRUE,"Unknown")</f>
        <v>Female</v>
      </c>
    </row>
    <row r="228" spans="1:15" x14ac:dyDescent="0.3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f t="array" ref="O228">_xlfn.IFS(orders[[#This Row],[Customer Gender]]="M","Male", orders[[#This Row],[Customer Gender]]="F","Female", orders[[#This Row],[Customer Gender]]="O","Other", TRUE,"Unknown")</f>
        <v>Male</v>
      </c>
    </row>
    <row r="229" spans="1:15" x14ac:dyDescent="0.3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f t="array" ref="O229">_xlfn.IFS(orders[[#This Row],[Customer Gender]]="M","Male", orders[[#This Row],[Customer Gender]]="F","Female", orders[[#This Row],[Customer Gender]]="O","Other", TRUE,"Unknown")</f>
        <v>Female</v>
      </c>
    </row>
    <row r="230" spans="1:15" x14ac:dyDescent="0.3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f t="array" ref="O230">_xlfn.IFS(orders[[#This Row],[Customer Gender]]="M","Male", orders[[#This Row],[Customer Gender]]="F","Female", orders[[#This Row],[Customer Gender]]="O","Other", TRUE,"Unknown")</f>
        <v>Female</v>
      </c>
    </row>
    <row r="231" spans="1:15" x14ac:dyDescent="0.3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f t="array" ref="O231">_xlfn.IFS(orders[[#This Row],[Customer Gender]]="M","Male", orders[[#This Row],[Customer Gender]]="F","Female", orders[[#This Row],[Customer Gender]]="O","Other", TRUE,"Unknown")</f>
        <v>Male</v>
      </c>
    </row>
    <row r="232" spans="1:15" x14ac:dyDescent="0.3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f t="array" ref="O232">_xlfn.IFS(orders[[#This Row],[Customer Gender]]="M","Male", orders[[#This Row],[Customer Gender]]="F","Female", orders[[#This Row],[Customer Gender]]="O","Other", TRUE,"Unknown")</f>
        <v>Female</v>
      </c>
    </row>
    <row r="233" spans="1:15" x14ac:dyDescent="0.3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f t="array" ref="O233">_xlfn.IFS(orders[[#This Row],[Customer Gender]]="M","Male", orders[[#This Row],[Customer Gender]]="F","Female", orders[[#This Row],[Customer Gender]]="O","Other", TRUE,"Unknown")</f>
        <v>Female</v>
      </c>
    </row>
    <row r="234" spans="1:15" x14ac:dyDescent="0.3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f t="array" ref="O234">_xlfn.IFS(orders[[#This Row],[Customer Gender]]="M","Male", orders[[#This Row],[Customer Gender]]="F","Female", orders[[#This Row],[Customer Gender]]="O","Other", TRUE,"Unknown")</f>
        <v>Male</v>
      </c>
    </row>
    <row r="235" spans="1:15" x14ac:dyDescent="0.3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f t="array" ref="O235">_xlfn.IFS(orders[[#This Row],[Customer Gender]]="M","Male", orders[[#This Row],[Customer Gender]]="F","Female", orders[[#This Row],[Customer Gender]]="O","Other", TRUE,"Unknown")</f>
        <v>Female</v>
      </c>
    </row>
    <row r="236" spans="1:15" x14ac:dyDescent="0.3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f t="array" ref="O236">_xlfn.IFS(orders[[#This Row],[Customer Gender]]="M","Male", orders[[#This Row],[Customer Gender]]="F","Female", orders[[#This Row],[Customer Gender]]="O","Other", TRUE,"Unknown")</f>
        <v>Male</v>
      </c>
    </row>
    <row r="237" spans="1:15" x14ac:dyDescent="0.3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f t="array" ref="O237">_xlfn.IFS(orders[[#This Row],[Customer Gender]]="M","Male", orders[[#This Row],[Customer Gender]]="F","Female", orders[[#This Row],[Customer Gender]]="O","Other", TRUE,"Unknown")</f>
        <v>Female</v>
      </c>
    </row>
    <row r="238" spans="1:15" x14ac:dyDescent="0.3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f t="array" ref="O238">_xlfn.IFS(orders[[#This Row],[Customer Gender]]="M","Male", orders[[#This Row],[Customer Gender]]="F","Female", orders[[#This Row],[Customer Gender]]="O","Other", TRUE,"Unknown")</f>
        <v>Female</v>
      </c>
    </row>
    <row r="239" spans="1:15" x14ac:dyDescent="0.3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f t="array" ref="O239">_xlfn.IFS(orders[[#This Row],[Customer Gender]]="M","Male", orders[[#This Row],[Customer Gender]]="F","Female", orders[[#This Row],[Customer Gender]]="O","Other", TRUE,"Unknown")</f>
        <v>Female</v>
      </c>
    </row>
    <row r="240" spans="1:15" x14ac:dyDescent="0.3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f t="array" ref="O240">_xlfn.IFS(orders[[#This Row],[Customer Gender]]="M","Male", orders[[#This Row],[Customer Gender]]="F","Female", orders[[#This Row],[Customer Gender]]="O","Other", TRUE,"Unknown")</f>
        <v>Male</v>
      </c>
    </row>
    <row r="241" spans="1:15" x14ac:dyDescent="0.3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f t="array" ref="O241">_xlfn.IFS(orders[[#This Row],[Customer Gender]]="M","Male", orders[[#This Row],[Customer Gender]]="F","Female", orders[[#This Row],[Customer Gender]]="O","Other", TRUE,"Unknown")</f>
        <v>Female</v>
      </c>
    </row>
    <row r="242" spans="1:15" x14ac:dyDescent="0.3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f t="array" ref="O242">_xlfn.IFS(orders[[#This Row],[Customer Gender]]="M","Male", orders[[#This Row],[Customer Gender]]="F","Female", orders[[#This Row],[Customer Gender]]="O","Other", TRUE,"Unknown")</f>
        <v>Female</v>
      </c>
    </row>
    <row r="243" spans="1:15" x14ac:dyDescent="0.3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f t="array" ref="O243">_xlfn.IFS(orders[[#This Row],[Customer Gender]]="M","Male", orders[[#This Row],[Customer Gender]]="F","Female", orders[[#This Row],[Customer Gender]]="O","Other", TRUE,"Unknown")</f>
        <v>Male</v>
      </c>
    </row>
    <row r="244" spans="1:15" x14ac:dyDescent="0.3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f t="array" ref="O244">_xlfn.IFS(orders[[#This Row],[Customer Gender]]="M","Male", orders[[#This Row],[Customer Gender]]="F","Female", orders[[#This Row],[Customer Gender]]="O","Other", TRUE,"Unknown")</f>
        <v>Male</v>
      </c>
    </row>
    <row r="245" spans="1:15" x14ac:dyDescent="0.3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f t="array" ref="O245">_xlfn.IFS(orders[[#This Row],[Customer Gender]]="M","Male", orders[[#This Row],[Customer Gender]]="F","Female", orders[[#This Row],[Customer Gender]]="O","Other", TRUE,"Unknown")</f>
        <v>Male</v>
      </c>
    </row>
    <row r="246" spans="1:15" x14ac:dyDescent="0.3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f t="array" ref="O246">_xlfn.IFS(orders[[#This Row],[Customer Gender]]="M","Male", orders[[#This Row],[Customer Gender]]="F","Female", orders[[#This Row],[Customer Gender]]="O","Other", TRUE,"Unknown")</f>
        <v>Female</v>
      </c>
    </row>
    <row r="247" spans="1:15" x14ac:dyDescent="0.3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f t="array" ref="O247">_xlfn.IFS(orders[[#This Row],[Customer Gender]]="M","Male", orders[[#This Row],[Customer Gender]]="F","Female", orders[[#This Row],[Customer Gender]]="O","Other", TRUE,"Unknown")</f>
        <v>Male</v>
      </c>
    </row>
    <row r="248" spans="1:15" x14ac:dyDescent="0.3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f t="array" ref="O248">_xlfn.IFS(orders[[#This Row],[Customer Gender]]="M","Male", orders[[#This Row],[Customer Gender]]="F","Female", orders[[#This Row],[Customer Gender]]="O","Other", TRUE,"Unknown")</f>
        <v>Male</v>
      </c>
    </row>
    <row r="249" spans="1:15" x14ac:dyDescent="0.3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f t="array" ref="O249">_xlfn.IFS(orders[[#This Row],[Customer Gender]]="M","Male", orders[[#This Row],[Customer Gender]]="F","Female", orders[[#This Row],[Customer Gender]]="O","Other", TRUE,"Unknown")</f>
        <v>Male</v>
      </c>
    </row>
    <row r="250" spans="1:15" x14ac:dyDescent="0.3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f t="array" ref="O250">_xlfn.IFS(orders[[#This Row],[Customer Gender]]="M","Male", orders[[#This Row],[Customer Gender]]="F","Female", orders[[#This Row],[Customer Gender]]="O","Other", TRUE,"Unknown")</f>
        <v>Female</v>
      </c>
    </row>
    <row r="251" spans="1:15" x14ac:dyDescent="0.3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f t="array" ref="O251">_xlfn.IFS(orders[[#This Row],[Customer Gender]]="M","Male", orders[[#This Row],[Customer Gender]]="F","Female", orders[[#This Row],[Customer Gender]]="O","Other", TRUE,"Unknown")</f>
        <v>Female</v>
      </c>
    </row>
    <row r="252" spans="1:15" x14ac:dyDescent="0.3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f t="array" ref="O252">_xlfn.IFS(orders[[#This Row],[Customer Gender]]="M","Male", orders[[#This Row],[Customer Gender]]="F","Female", orders[[#This Row],[Customer Gender]]="O","Other", TRUE,"Unknown")</f>
        <v>Male</v>
      </c>
    </row>
    <row r="253" spans="1:15" x14ac:dyDescent="0.3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f t="array" ref="O253">_xlfn.IFS(orders[[#This Row],[Customer Gender]]="M","Male", orders[[#This Row],[Customer Gender]]="F","Female", orders[[#This Row],[Customer Gender]]="O","Other", TRUE,"Unknown")</f>
        <v>Male</v>
      </c>
    </row>
    <row r="254" spans="1:15" x14ac:dyDescent="0.3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f t="array" ref="O254">_xlfn.IFS(orders[[#This Row],[Customer Gender]]="M","Male", orders[[#This Row],[Customer Gender]]="F","Female", orders[[#This Row],[Customer Gender]]="O","Other", TRUE,"Unknown")</f>
        <v>Other</v>
      </c>
    </row>
    <row r="255" spans="1:15" x14ac:dyDescent="0.3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f t="array" ref="O255">_xlfn.IFS(orders[[#This Row],[Customer Gender]]="M","Male", orders[[#This Row],[Customer Gender]]="F","Female", orders[[#This Row],[Customer Gender]]="O","Other", TRUE,"Unknown")</f>
        <v>Male</v>
      </c>
    </row>
    <row r="256" spans="1:15" x14ac:dyDescent="0.3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f t="array" ref="O256">_xlfn.IFS(orders[[#This Row],[Customer Gender]]="M","Male", orders[[#This Row],[Customer Gender]]="F","Female", orders[[#This Row],[Customer Gender]]="O","Other", TRUE,"Unknown")</f>
        <v>Male</v>
      </c>
    </row>
    <row r="257" spans="1:15" x14ac:dyDescent="0.3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f t="array" ref="O257">_xlfn.IFS(orders[[#This Row],[Customer Gender]]="M","Male", orders[[#This Row],[Customer Gender]]="F","Female", orders[[#This Row],[Customer Gender]]="O","Other", TRUE,"Unknown")</f>
        <v>Female</v>
      </c>
    </row>
    <row r="258" spans="1:15" x14ac:dyDescent="0.3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f t="array" ref="O258">_xlfn.IFS(orders[[#This Row],[Customer Gender]]="M","Male", orders[[#This Row],[Customer Gender]]="F","Female", orders[[#This Row],[Customer Gender]]="O","Other", TRUE,"Unknown")</f>
        <v>Male</v>
      </c>
    </row>
    <row r="259" spans="1:15" x14ac:dyDescent="0.3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f t="array" ref="O259">_xlfn.IFS(orders[[#This Row],[Customer Gender]]="M","Male", orders[[#This Row],[Customer Gender]]="F","Female", orders[[#This Row],[Customer Gender]]="O","Other", TRUE,"Unknown")</f>
        <v>Male</v>
      </c>
    </row>
    <row r="260" spans="1:15" x14ac:dyDescent="0.3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f t="array" ref="O260">_xlfn.IFS(orders[[#This Row],[Customer Gender]]="M","Male", orders[[#This Row],[Customer Gender]]="F","Female", orders[[#This Row],[Customer Gender]]="O","Other", TRUE,"Unknown")</f>
        <v>Female</v>
      </c>
    </row>
    <row r="261" spans="1:15" x14ac:dyDescent="0.3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f t="array" ref="O261">_xlfn.IFS(orders[[#This Row],[Customer Gender]]="M","Male", orders[[#This Row],[Customer Gender]]="F","Female", orders[[#This Row],[Customer Gender]]="O","Other", TRUE,"Unknown")</f>
        <v>Female</v>
      </c>
    </row>
    <row r="262" spans="1:15" x14ac:dyDescent="0.3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f t="array" ref="O262">_xlfn.IFS(orders[[#This Row],[Customer Gender]]="M","Male", orders[[#This Row],[Customer Gender]]="F","Female", orders[[#This Row],[Customer Gender]]="O","Other", TRUE,"Unknown")</f>
        <v>Male</v>
      </c>
    </row>
    <row r="263" spans="1:15" x14ac:dyDescent="0.3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f t="array" ref="O263">_xlfn.IFS(orders[[#This Row],[Customer Gender]]="M","Male", orders[[#This Row],[Customer Gender]]="F","Female", orders[[#This Row],[Customer Gender]]="O","Other", TRUE,"Unknown")</f>
        <v>Female</v>
      </c>
    </row>
    <row r="264" spans="1:15" x14ac:dyDescent="0.3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f t="array" ref="O264">_xlfn.IFS(orders[[#This Row],[Customer Gender]]="M","Male", orders[[#This Row],[Customer Gender]]="F","Female", orders[[#This Row],[Customer Gender]]="O","Other", TRUE,"Unknown")</f>
        <v>Male</v>
      </c>
    </row>
    <row r="265" spans="1:15" x14ac:dyDescent="0.3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f t="array" ref="O265">_xlfn.IFS(orders[[#This Row],[Customer Gender]]="M","Male", orders[[#This Row],[Customer Gender]]="F","Female", orders[[#This Row],[Customer Gender]]="O","Other", TRUE,"Unknown")</f>
        <v>Female</v>
      </c>
    </row>
    <row r="266" spans="1:15" x14ac:dyDescent="0.3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f t="array" ref="O266">_xlfn.IFS(orders[[#This Row],[Customer Gender]]="M","Male", orders[[#This Row],[Customer Gender]]="F","Female", orders[[#This Row],[Customer Gender]]="O","Other", TRUE,"Unknown")</f>
        <v>Male</v>
      </c>
    </row>
    <row r="267" spans="1:15" x14ac:dyDescent="0.3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f t="array" ref="O267">_xlfn.IFS(orders[[#This Row],[Customer Gender]]="M","Male", orders[[#This Row],[Customer Gender]]="F","Female", orders[[#This Row],[Customer Gender]]="O","Other", TRUE,"Unknown")</f>
        <v>Female</v>
      </c>
    </row>
    <row r="268" spans="1:15" x14ac:dyDescent="0.3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f t="array" ref="O268">_xlfn.IFS(orders[[#This Row],[Customer Gender]]="M","Male", orders[[#This Row],[Customer Gender]]="F","Female", orders[[#This Row],[Customer Gender]]="O","Other", TRUE,"Unknown")</f>
        <v>Unknown</v>
      </c>
    </row>
    <row r="269" spans="1:15" x14ac:dyDescent="0.3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f t="array" ref="O269">_xlfn.IFS(orders[[#This Row],[Customer Gender]]="M","Male", orders[[#This Row],[Customer Gender]]="F","Female", orders[[#This Row],[Customer Gender]]="O","Other", TRUE,"Unknown")</f>
        <v>Female</v>
      </c>
    </row>
    <row r="270" spans="1:15" x14ac:dyDescent="0.3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f t="array" ref="O270">_xlfn.IFS(orders[[#This Row],[Customer Gender]]="M","Male", orders[[#This Row],[Customer Gender]]="F","Female", orders[[#This Row],[Customer Gender]]="O","Other", TRUE,"Unknown")</f>
        <v>Female</v>
      </c>
    </row>
    <row r="271" spans="1:15" x14ac:dyDescent="0.3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f t="array" ref="O271">_xlfn.IFS(orders[[#This Row],[Customer Gender]]="M","Male", orders[[#This Row],[Customer Gender]]="F","Female", orders[[#This Row],[Customer Gender]]="O","Other", TRUE,"Unknown")</f>
        <v>Female</v>
      </c>
    </row>
    <row r="272" spans="1:15" x14ac:dyDescent="0.3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f t="array" ref="O272">_xlfn.IFS(orders[[#This Row],[Customer Gender]]="M","Male", orders[[#This Row],[Customer Gender]]="F","Female", orders[[#This Row],[Customer Gender]]="O","Other", TRUE,"Unknown")</f>
        <v>Female</v>
      </c>
    </row>
    <row r="273" spans="1:15" x14ac:dyDescent="0.3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f t="array" ref="O273">_xlfn.IFS(orders[[#This Row],[Customer Gender]]="M","Male", orders[[#This Row],[Customer Gender]]="F","Female", orders[[#This Row],[Customer Gender]]="O","Other", TRUE,"Unknown")</f>
        <v>Female</v>
      </c>
    </row>
    <row r="274" spans="1:15" x14ac:dyDescent="0.3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f t="array" ref="O274">_xlfn.IFS(orders[[#This Row],[Customer Gender]]="M","Male", orders[[#This Row],[Customer Gender]]="F","Female", orders[[#This Row],[Customer Gender]]="O","Other", TRUE,"Unknown")</f>
        <v>Female</v>
      </c>
    </row>
    <row r="275" spans="1:15" x14ac:dyDescent="0.3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f t="array" ref="O275">_xlfn.IFS(orders[[#This Row],[Customer Gender]]="M","Male", orders[[#This Row],[Customer Gender]]="F","Female", orders[[#This Row],[Customer Gender]]="O","Other", TRUE,"Unknown")</f>
        <v>Male</v>
      </c>
    </row>
    <row r="276" spans="1:15" x14ac:dyDescent="0.3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f t="array" ref="O276">_xlfn.IFS(orders[[#This Row],[Customer Gender]]="M","Male", orders[[#This Row],[Customer Gender]]="F","Female", orders[[#This Row],[Customer Gender]]="O","Other", TRUE,"Unknown")</f>
        <v>Male</v>
      </c>
    </row>
    <row r="277" spans="1:15" x14ac:dyDescent="0.3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f t="array" ref="O277">_xlfn.IFS(orders[[#This Row],[Customer Gender]]="M","Male", orders[[#This Row],[Customer Gender]]="F","Female", orders[[#This Row],[Customer Gender]]="O","Other", TRUE,"Unknown")</f>
        <v>Female</v>
      </c>
    </row>
    <row r="278" spans="1:15" x14ac:dyDescent="0.3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f t="array" ref="O278">_xlfn.IFS(orders[[#This Row],[Customer Gender]]="M","Male", orders[[#This Row],[Customer Gender]]="F","Female", orders[[#This Row],[Customer Gender]]="O","Other", TRUE,"Unknown")</f>
        <v>Unknown</v>
      </c>
    </row>
    <row r="279" spans="1:15" x14ac:dyDescent="0.3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f t="array" ref="O279">_xlfn.IFS(orders[[#This Row],[Customer Gender]]="M","Male", orders[[#This Row],[Customer Gender]]="F","Female", orders[[#This Row],[Customer Gender]]="O","Other", TRUE,"Unknown")</f>
        <v>Female</v>
      </c>
    </row>
    <row r="280" spans="1:15" x14ac:dyDescent="0.3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f t="array" ref="O280">_xlfn.IFS(orders[[#This Row],[Customer Gender]]="M","Male", orders[[#This Row],[Customer Gender]]="F","Female", orders[[#This Row],[Customer Gender]]="O","Other", TRUE,"Unknown")</f>
        <v>Female</v>
      </c>
    </row>
    <row r="281" spans="1:15" x14ac:dyDescent="0.3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f t="array" ref="O281">_xlfn.IFS(orders[[#This Row],[Customer Gender]]="M","Male", orders[[#This Row],[Customer Gender]]="F","Female", orders[[#This Row],[Customer Gender]]="O","Other", TRUE,"Unknown")</f>
        <v>Female</v>
      </c>
    </row>
    <row r="282" spans="1:15" x14ac:dyDescent="0.3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f t="array" ref="O282">_xlfn.IFS(orders[[#This Row],[Customer Gender]]="M","Male", orders[[#This Row],[Customer Gender]]="F","Female", orders[[#This Row],[Customer Gender]]="O","Other", TRUE,"Unknown")</f>
        <v>Male</v>
      </c>
    </row>
    <row r="283" spans="1:15" x14ac:dyDescent="0.3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f t="array" ref="O283">_xlfn.IFS(orders[[#This Row],[Customer Gender]]="M","Male", orders[[#This Row],[Customer Gender]]="F","Female", orders[[#This Row],[Customer Gender]]="O","Other", TRUE,"Unknown")</f>
        <v>Male</v>
      </c>
    </row>
    <row r="284" spans="1:15" x14ac:dyDescent="0.3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f t="array" ref="O284">_xlfn.IFS(orders[[#This Row],[Customer Gender]]="M","Male", orders[[#This Row],[Customer Gender]]="F","Female", orders[[#This Row],[Customer Gender]]="O","Other", TRUE,"Unknown")</f>
        <v>Female</v>
      </c>
    </row>
    <row r="285" spans="1:15" x14ac:dyDescent="0.3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f t="array" ref="O285">_xlfn.IFS(orders[[#This Row],[Customer Gender]]="M","Male", orders[[#This Row],[Customer Gender]]="F","Female", orders[[#This Row],[Customer Gender]]="O","Other", TRUE,"Unknown")</f>
        <v>Male</v>
      </c>
    </row>
    <row r="286" spans="1:15" x14ac:dyDescent="0.3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f t="array" ref="O286">_xlfn.IFS(orders[[#This Row],[Customer Gender]]="M","Male", orders[[#This Row],[Customer Gender]]="F","Female", orders[[#This Row],[Customer Gender]]="O","Other", TRUE,"Unknown")</f>
        <v>Male</v>
      </c>
    </row>
    <row r="287" spans="1:15" x14ac:dyDescent="0.3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f t="array" ref="O287">_xlfn.IFS(orders[[#This Row],[Customer Gender]]="M","Male", orders[[#This Row],[Customer Gender]]="F","Female", orders[[#This Row],[Customer Gender]]="O","Other", TRUE,"Unknown")</f>
        <v>Female</v>
      </c>
    </row>
    <row r="288" spans="1:15" x14ac:dyDescent="0.3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f t="array" ref="O288">_xlfn.IFS(orders[[#This Row],[Customer Gender]]="M","Male", orders[[#This Row],[Customer Gender]]="F","Female", orders[[#This Row],[Customer Gender]]="O","Other", TRUE,"Unknown")</f>
        <v>Female</v>
      </c>
    </row>
    <row r="289" spans="1:15" x14ac:dyDescent="0.3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f t="array" ref="O289">_xlfn.IFS(orders[[#This Row],[Customer Gender]]="M","Male", orders[[#This Row],[Customer Gender]]="F","Female", orders[[#This Row],[Customer Gender]]="O","Other", TRUE,"Unknown")</f>
        <v>Male</v>
      </c>
    </row>
    <row r="290" spans="1:15" x14ac:dyDescent="0.3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f t="array" ref="O290">_xlfn.IFS(orders[[#This Row],[Customer Gender]]="M","Male", orders[[#This Row],[Customer Gender]]="F","Female", orders[[#This Row],[Customer Gender]]="O","Other", TRUE,"Unknown")</f>
        <v>Male</v>
      </c>
    </row>
    <row r="291" spans="1:15" x14ac:dyDescent="0.3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f t="array" ref="O291">_xlfn.IFS(orders[[#This Row],[Customer Gender]]="M","Male", orders[[#This Row],[Customer Gender]]="F","Female", orders[[#This Row],[Customer Gender]]="O","Other", TRUE,"Unknown")</f>
        <v>Male</v>
      </c>
    </row>
    <row r="292" spans="1:15" x14ac:dyDescent="0.3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f t="array" ref="O292">_xlfn.IFS(orders[[#This Row],[Customer Gender]]="M","Male", orders[[#This Row],[Customer Gender]]="F","Female", orders[[#This Row],[Customer Gender]]="O","Other", TRUE,"Unknown")</f>
        <v>Male</v>
      </c>
    </row>
    <row r="293" spans="1:15" x14ac:dyDescent="0.3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f t="array" ref="O293">_xlfn.IFS(orders[[#This Row],[Customer Gender]]="M","Male", orders[[#This Row],[Customer Gender]]="F","Female", orders[[#This Row],[Customer Gender]]="O","Other", TRUE,"Unknown")</f>
        <v>Male</v>
      </c>
    </row>
    <row r="294" spans="1:15" x14ac:dyDescent="0.3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f t="array" ref="O294">_xlfn.IFS(orders[[#This Row],[Customer Gender]]="M","Male", orders[[#This Row],[Customer Gender]]="F","Female", orders[[#This Row],[Customer Gender]]="O","Other", TRUE,"Unknown")</f>
        <v>Female</v>
      </c>
    </row>
    <row r="295" spans="1:15" x14ac:dyDescent="0.3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f t="array" ref="O295">_xlfn.IFS(orders[[#This Row],[Customer Gender]]="M","Male", orders[[#This Row],[Customer Gender]]="F","Female", orders[[#This Row],[Customer Gender]]="O","Other", TRUE,"Unknown")</f>
        <v>Male</v>
      </c>
    </row>
    <row r="296" spans="1:15" x14ac:dyDescent="0.3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f t="array" ref="O296">_xlfn.IFS(orders[[#This Row],[Customer Gender]]="M","Male", orders[[#This Row],[Customer Gender]]="F","Female", orders[[#This Row],[Customer Gender]]="O","Other", TRUE,"Unknown")</f>
        <v>Male</v>
      </c>
    </row>
    <row r="297" spans="1:15" x14ac:dyDescent="0.3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f t="array" ref="O297">_xlfn.IFS(orders[[#This Row],[Customer Gender]]="M","Male", orders[[#This Row],[Customer Gender]]="F","Female", orders[[#This Row],[Customer Gender]]="O","Other", TRUE,"Unknown")</f>
        <v>Female</v>
      </c>
    </row>
    <row r="298" spans="1:15" x14ac:dyDescent="0.3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f t="array" ref="O298">_xlfn.IFS(orders[[#This Row],[Customer Gender]]="M","Male", orders[[#This Row],[Customer Gender]]="F","Female", orders[[#This Row],[Customer Gender]]="O","Other", TRUE,"Unknown")</f>
        <v>Female</v>
      </c>
    </row>
    <row r="299" spans="1:15" x14ac:dyDescent="0.3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f t="array" ref="O299">_xlfn.IFS(orders[[#This Row],[Customer Gender]]="M","Male", orders[[#This Row],[Customer Gender]]="F","Female", orders[[#This Row],[Customer Gender]]="O","Other", TRUE,"Unknown")</f>
        <v>Male</v>
      </c>
    </row>
    <row r="300" spans="1:15" x14ac:dyDescent="0.3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f t="array" ref="O300">_xlfn.IFS(orders[[#This Row],[Customer Gender]]="M","Male", orders[[#This Row],[Customer Gender]]="F","Female", orders[[#This Row],[Customer Gender]]="O","Other", TRUE,"Unknown")</f>
        <v>Female</v>
      </c>
    </row>
    <row r="301" spans="1:15" x14ac:dyDescent="0.3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f t="array" ref="O301">_xlfn.IFS(orders[[#This Row],[Customer Gender]]="M","Male", orders[[#This Row],[Customer Gender]]="F","Female", orders[[#This Row],[Customer Gender]]="O","Other", TRUE,"Unknown")</f>
        <v>Male</v>
      </c>
    </row>
    <row r="302" spans="1:15" x14ac:dyDescent="0.3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f t="array" ref="O302">_xlfn.IFS(orders[[#This Row],[Customer Gender]]="M","Male", orders[[#This Row],[Customer Gender]]="F","Female", orders[[#This Row],[Customer Gender]]="O","Other", TRUE,"Unknown")</f>
        <v>Female</v>
      </c>
    </row>
    <row r="303" spans="1:15" x14ac:dyDescent="0.3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f t="array" ref="O303">_xlfn.IFS(orders[[#This Row],[Customer Gender]]="M","Male", orders[[#This Row],[Customer Gender]]="F","Female", orders[[#This Row],[Customer Gender]]="O","Other", TRUE,"Unknown")</f>
        <v>Female</v>
      </c>
    </row>
    <row r="304" spans="1:15" x14ac:dyDescent="0.3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f t="array" ref="O304">_xlfn.IFS(orders[[#This Row],[Customer Gender]]="M","Male", orders[[#This Row],[Customer Gender]]="F","Female", orders[[#This Row],[Customer Gender]]="O","Other", TRUE,"Unknown")</f>
        <v>Female</v>
      </c>
    </row>
    <row r="305" spans="1:15" x14ac:dyDescent="0.3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f t="array" ref="O305">_xlfn.IFS(orders[[#This Row],[Customer Gender]]="M","Male", orders[[#This Row],[Customer Gender]]="F","Female", orders[[#This Row],[Customer Gender]]="O","Other", TRUE,"Unknown")</f>
        <v>Female</v>
      </c>
    </row>
    <row r="306" spans="1:15" x14ac:dyDescent="0.3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f t="array" ref="O306">_xlfn.IFS(orders[[#This Row],[Customer Gender]]="M","Male", orders[[#This Row],[Customer Gender]]="F","Female", orders[[#This Row],[Customer Gender]]="O","Other", TRUE,"Unknown")</f>
        <v>Male</v>
      </c>
    </row>
    <row r="307" spans="1:15" x14ac:dyDescent="0.3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f t="array" ref="O307">_xlfn.IFS(orders[[#This Row],[Customer Gender]]="M","Male", orders[[#This Row],[Customer Gender]]="F","Female", orders[[#This Row],[Customer Gender]]="O","Other", TRUE,"Unknown")</f>
        <v>Female</v>
      </c>
    </row>
    <row r="308" spans="1:15" x14ac:dyDescent="0.3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f t="array" ref="O308">_xlfn.IFS(orders[[#This Row],[Customer Gender]]="M","Male", orders[[#This Row],[Customer Gender]]="F","Female", orders[[#This Row],[Customer Gender]]="O","Other", TRUE,"Unknown")</f>
        <v>Female</v>
      </c>
    </row>
    <row r="309" spans="1:15" x14ac:dyDescent="0.3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f t="array" ref="O309">_xlfn.IFS(orders[[#This Row],[Customer Gender]]="M","Male", orders[[#This Row],[Customer Gender]]="F","Female", orders[[#This Row],[Customer Gender]]="O","Other", TRUE,"Unknown")</f>
        <v>Female</v>
      </c>
    </row>
    <row r="310" spans="1:15" x14ac:dyDescent="0.3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f t="array" ref="O310">_xlfn.IFS(orders[[#This Row],[Customer Gender]]="M","Male", orders[[#This Row],[Customer Gender]]="F","Female", orders[[#This Row],[Customer Gender]]="O","Other", TRUE,"Unknown")</f>
        <v>Male</v>
      </c>
    </row>
    <row r="311" spans="1:15" x14ac:dyDescent="0.3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f t="array" ref="O311">_xlfn.IFS(orders[[#This Row],[Customer Gender]]="M","Male", orders[[#This Row],[Customer Gender]]="F","Female", orders[[#This Row],[Customer Gender]]="O","Other", TRUE,"Unknown")</f>
        <v>Female</v>
      </c>
    </row>
    <row r="312" spans="1:15" x14ac:dyDescent="0.3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f t="array" ref="O312">_xlfn.IFS(orders[[#This Row],[Customer Gender]]="M","Male", orders[[#This Row],[Customer Gender]]="F","Female", orders[[#This Row],[Customer Gender]]="O","Other", TRUE,"Unknown")</f>
        <v>Male</v>
      </c>
    </row>
    <row r="313" spans="1:15" x14ac:dyDescent="0.3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f t="array" ref="O313">_xlfn.IFS(orders[[#This Row],[Customer Gender]]="M","Male", orders[[#This Row],[Customer Gender]]="F","Female", orders[[#This Row],[Customer Gender]]="O","Other", TRUE,"Unknown")</f>
        <v>Male</v>
      </c>
    </row>
    <row r="314" spans="1:15" x14ac:dyDescent="0.3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f t="array" ref="O314">_xlfn.IFS(orders[[#This Row],[Customer Gender]]="M","Male", orders[[#This Row],[Customer Gender]]="F","Female", orders[[#This Row],[Customer Gender]]="O","Other", TRUE,"Unknown")</f>
        <v>Male</v>
      </c>
    </row>
    <row r="315" spans="1:15" x14ac:dyDescent="0.3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f t="array" ref="O315">_xlfn.IFS(orders[[#This Row],[Customer Gender]]="M","Male", orders[[#This Row],[Customer Gender]]="F","Female", orders[[#This Row],[Customer Gender]]="O","Other", TRUE,"Unknown")</f>
        <v>Female</v>
      </c>
    </row>
    <row r="316" spans="1:15" x14ac:dyDescent="0.3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f t="array" ref="O316">_xlfn.IFS(orders[[#This Row],[Customer Gender]]="M","Male", orders[[#This Row],[Customer Gender]]="F","Female", orders[[#This Row],[Customer Gender]]="O","Other", TRUE,"Unknown")</f>
        <v>Male</v>
      </c>
    </row>
    <row r="317" spans="1:15" x14ac:dyDescent="0.3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f t="array" ref="O317">_xlfn.IFS(orders[[#This Row],[Customer Gender]]="M","Male", orders[[#This Row],[Customer Gender]]="F","Female", orders[[#This Row],[Customer Gender]]="O","Other", TRUE,"Unknown")</f>
        <v>Female</v>
      </c>
    </row>
    <row r="318" spans="1:15" x14ac:dyDescent="0.3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f t="array" ref="O318">_xlfn.IFS(orders[[#This Row],[Customer Gender]]="M","Male", orders[[#This Row],[Customer Gender]]="F","Female", orders[[#This Row],[Customer Gender]]="O","Other", TRUE,"Unknown")</f>
        <v>Unknown</v>
      </c>
    </row>
    <row r="319" spans="1:15" x14ac:dyDescent="0.3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f t="array" ref="O319">_xlfn.IFS(orders[[#This Row],[Customer Gender]]="M","Male", orders[[#This Row],[Customer Gender]]="F","Female", orders[[#This Row],[Customer Gender]]="O","Other", TRUE,"Unknown")</f>
        <v>Female</v>
      </c>
    </row>
    <row r="320" spans="1:15" x14ac:dyDescent="0.3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f t="array" ref="O320">_xlfn.IFS(orders[[#This Row],[Customer Gender]]="M","Male", orders[[#This Row],[Customer Gender]]="F","Female", orders[[#This Row],[Customer Gender]]="O","Other", TRUE,"Unknown")</f>
        <v>Female</v>
      </c>
    </row>
    <row r="321" spans="1:15" x14ac:dyDescent="0.3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f t="array" ref="O321">_xlfn.IFS(orders[[#This Row],[Customer Gender]]="M","Male", orders[[#This Row],[Customer Gender]]="F","Female", orders[[#This Row],[Customer Gender]]="O","Other", TRUE,"Unknown")</f>
        <v>Male</v>
      </c>
    </row>
    <row r="322" spans="1:15" x14ac:dyDescent="0.3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f t="array" ref="O322">_xlfn.IFS(orders[[#This Row],[Customer Gender]]="M","Male", orders[[#This Row],[Customer Gender]]="F","Female", orders[[#This Row],[Customer Gender]]="O","Other", TRUE,"Unknown")</f>
        <v>Other</v>
      </c>
    </row>
    <row r="323" spans="1:15" x14ac:dyDescent="0.3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f t="array" ref="O323">_xlfn.IFS(orders[[#This Row],[Customer Gender]]="M","Male", orders[[#This Row],[Customer Gender]]="F","Female", orders[[#This Row],[Customer Gender]]="O","Other", TRUE,"Unknown")</f>
        <v>Unknown</v>
      </c>
    </row>
    <row r="324" spans="1:15" x14ac:dyDescent="0.3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f t="array" ref="O324">_xlfn.IFS(orders[[#This Row],[Customer Gender]]="M","Male", orders[[#This Row],[Customer Gender]]="F","Female", orders[[#This Row],[Customer Gender]]="O","Other", TRUE,"Unknown")</f>
        <v>Female</v>
      </c>
    </row>
    <row r="325" spans="1:15" x14ac:dyDescent="0.3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f t="array" ref="O325">_xlfn.IFS(orders[[#This Row],[Customer Gender]]="M","Male", orders[[#This Row],[Customer Gender]]="F","Female", orders[[#This Row],[Customer Gender]]="O","Other", TRUE,"Unknown")</f>
        <v>Male</v>
      </c>
    </row>
    <row r="326" spans="1:15" x14ac:dyDescent="0.3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f t="array" ref="O326">_xlfn.IFS(orders[[#This Row],[Customer Gender]]="M","Male", orders[[#This Row],[Customer Gender]]="F","Female", orders[[#This Row],[Customer Gender]]="O","Other", TRUE,"Unknown")</f>
        <v>Female</v>
      </c>
    </row>
    <row r="327" spans="1:15" x14ac:dyDescent="0.3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f t="array" ref="O327">_xlfn.IFS(orders[[#This Row],[Customer Gender]]="M","Male", orders[[#This Row],[Customer Gender]]="F","Female", orders[[#This Row],[Customer Gender]]="O","Other", TRUE,"Unknown")</f>
        <v>Female</v>
      </c>
    </row>
    <row r="328" spans="1:15" x14ac:dyDescent="0.3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f t="array" ref="O328">_xlfn.IFS(orders[[#This Row],[Customer Gender]]="M","Male", orders[[#This Row],[Customer Gender]]="F","Female", orders[[#This Row],[Customer Gender]]="O","Other", TRUE,"Unknown")</f>
        <v>Male</v>
      </c>
    </row>
    <row r="329" spans="1:15" x14ac:dyDescent="0.3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f t="array" ref="O329">_xlfn.IFS(orders[[#This Row],[Customer Gender]]="M","Male", orders[[#This Row],[Customer Gender]]="F","Female", orders[[#This Row],[Customer Gender]]="O","Other", TRUE,"Unknown")</f>
        <v>Male</v>
      </c>
    </row>
    <row r="330" spans="1:15" x14ac:dyDescent="0.3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f t="array" ref="O330">_xlfn.IFS(orders[[#This Row],[Customer Gender]]="M","Male", orders[[#This Row],[Customer Gender]]="F","Female", orders[[#This Row],[Customer Gender]]="O","Other", TRUE,"Unknown")</f>
        <v>Female</v>
      </c>
    </row>
    <row r="331" spans="1:15" x14ac:dyDescent="0.3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f t="array" ref="O331">_xlfn.IFS(orders[[#This Row],[Customer Gender]]="M","Male", orders[[#This Row],[Customer Gender]]="F","Female", orders[[#This Row],[Customer Gender]]="O","Other", TRUE,"Unknown")</f>
        <v>Female</v>
      </c>
    </row>
    <row r="332" spans="1:15" x14ac:dyDescent="0.3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f t="array" ref="O332">_xlfn.IFS(orders[[#This Row],[Customer Gender]]="M","Male", orders[[#This Row],[Customer Gender]]="F","Female", orders[[#This Row],[Customer Gender]]="O","Other", TRUE,"Unknown")</f>
        <v>Female</v>
      </c>
    </row>
    <row r="333" spans="1:15" x14ac:dyDescent="0.3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f t="array" ref="O333">_xlfn.IFS(orders[[#This Row],[Customer Gender]]="M","Male", orders[[#This Row],[Customer Gender]]="F","Female", orders[[#This Row],[Customer Gender]]="O","Other", TRUE,"Unknown")</f>
        <v>Female</v>
      </c>
    </row>
    <row r="334" spans="1:15" x14ac:dyDescent="0.3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f t="array" ref="O334">_xlfn.IFS(orders[[#This Row],[Customer Gender]]="M","Male", orders[[#This Row],[Customer Gender]]="F","Female", orders[[#This Row],[Customer Gender]]="O","Other", TRUE,"Unknown")</f>
        <v>Male</v>
      </c>
    </row>
    <row r="335" spans="1:15" x14ac:dyDescent="0.3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f t="array" ref="O335">_xlfn.IFS(orders[[#This Row],[Customer Gender]]="M","Male", orders[[#This Row],[Customer Gender]]="F","Female", orders[[#This Row],[Customer Gender]]="O","Other", TRUE,"Unknown")</f>
        <v>Female</v>
      </c>
    </row>
    <row r="336" spans="1:15" x14ac:dyDescent="0.3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f t="array" ref="O336">_xlfn.IFS(orders[[#This Row],[Customer Gender]]="M","Male", orders[[#This Row],[Customer Gender]]="F","Female", orders[[#This Row],[Customer Gender]]="O","Other", TRUE,"Unknown")</f>
        <v>Female</v>
      </c>
    </row>
    <row r="337" spans="1:15" x14ac:dyDescent="0.3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f t="array" ref="O337">_xlfn.IFS(orders[[#This Row],[Customer Gender]]="M","Male", orders[[#This Row],[Customer Gender]]="F","Female", orders[[#This Row],[Customer Gender]]="O","Other", TRUE,"Unknown")</f>
        <v>Male</v>
      </c>
    </row>
    <row r="338" spans="1:15" x14ac:dyDescent="0.3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f t="array" ref="O338">_xlfn.IFS(orders[[#This Row],[Customer Gender]]="M","Male", orders[[#This Row],[Customer Gender]]="F","Female", orders[[#This Row],[Customer Gender]]="O","Other", TRUE,"Unknown")</f>
        <v>Unknown</v>
      </c>
    </row>
    <row r="339" spans="1:15" x14ac:dyDescent="0.3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f t="array" ref="O339">_xlfn.IFS(orders[[#This Row],[Customer Gender]]="M","Male", orders[[#This Row],[Customer Gender]]="F","Female", orders[[#This Row],[Customer Gender]]="O","Other", TRUE,"Unknown")</f>
        <v>Female</v>
      </c>
    </row>
    <row r="340" spans="1:15" x14ac:dyDescent="0.3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f t="array" ref="O340">_xlfn.IFS(orders[[#This Row],[Customer Gender]]="M","Male", orders[[#This Row],[Customer Gender]]="F","Female", orders[[#This Row],[Customer Gender]]="O","Other", TRUE,"Unknown")</f>
        <v>Male</v>
      </c>
    </row>
    <row r="341" spans="1:15" x14ac:dyDescent="0.3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f t="array" ref="O341">_xlfn.IFS(orders[[#This Row],[Customer Gender]]="M","Male", orders[[#This Row],[Customer Gender]]="F","Female", orders[[#This Row],[Customer Gender]]="O","Other", TRUE,"Unknown")</f>
        <v>Female</v>
      </c>
    </row>
    <row r="342" spans="1:15" x14ac:dyDescent="0.3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f t="array" ref="O342">_xlfn.IFS(orders[[#This Row],[Customer Gender]]="M","Male", orders[[#This Row],[Customer Gender]]="F","Female", orders[[#This Row],[Customer Gender]]="O","Other", TRUE,"Unknown")</f>
        <v>Female</v>
      </c>
    </row>
    <row r="343" spans="1:15" x14ac:dyDescent="0.3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f t="array" ref="O343">_xlfn.IFS(orders[[#This Row],[Customer Gender]]="M","Male", orders[[#This Row],[Customer Gender]]="F","Female", orders[[#This Row],[Customer Gender]]="O","Other", TRUE,"Unknown")</f>
        <v>Male</v>
      </c>
    </row>
    <row r="344" spans="1:15" x14ac:dyDescent="0.3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f t="array" ref="O344">_xlfn.IFS(orders[[#This Row],[Customer Gender]]="M","Male", orders[[#This Row],[Customer Gender]]="F","Female", orders[[#This Row],[Customer Gender]]="O","Other", TRUE,"Unknown")</f>
        <v>Female</v>
      </c>
    </row>
    <row r="345" spans="1:15" x14ac:dyDescent="0.3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f t="array" ref="O345">_xlfn.IFS(orders[[#This Row],[Customer Gender]]="M","Male", orders[[#This Row],[Customer Gender]]="F","Female", orders[[#This Row],[Customer Gender]]="O","Other", TRUE,"Unknown")</f>
        <v>Female</v>
      </c>
    </row>
    <row r="346" spans="1:15" x14ac:dyDescent="0.3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f t="array" ref="O346">_xlfn.IFS(orders[[#This Row],[Customer Gender]]="M","Male", orders[[#This Row],[Customer Gender]]="F","Female", orders[[#This Row],[Customer Gender]]="O","Other", TRUE,"Unknown")</f>
        <v>Female</v>
      </c>
    </row>
    <row r="347" spans="1:15" x14ac:dyDescent="0.3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f t="array" ref="O347">_xlfn.IFS(orders[[#This Row],[Customer Gender]]="M","Male", orders[[#This Row],[Customer Gender]]="F","Female", orders[[#This Row],[Customer Gender]]="O","Other", TRUE,"Unknown")</f>
        <v>Unknown</v>
      </c>
    </row>
    <row r="348" spans="1:15" x14ac:dyDescent="0.3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f t="array" ref="O348">_xlfn.IFS(orders[[#This Row],[Customer Gender]]="M","Male", orders[[#This Row],[Customer Gender]]="F","Female", orders[[#This Row],[Customer Gender]]="O","Other", TRUE,"Unknown")</f>
        <v>Male</v>
      </c>
    </row>
    <row r="349" spans="1:15" x14ac:dyDescent="0.3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f t="array" ref="O349">_xlfn.IFS(orders[[#This Row],[Customer Gender]]="M","Male", orders[[#This Row],[Customer Gender]]="F","Female", orders[[#This Row],[Customer Gender]]="O","Other", TRUE,"Unknown")</f>
        <v>Male</v>
      </c>
    </row>
    <row r="350" spans="1:15" x14ac:dyDescent="0.3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f t="array" ref="O350">_xlfn.IFS(orders[[#This Row],[Customer Gender]]="M","Male", orders[[#This Row],[Customer Gender]]="F","Female", orders[[#This Row],[Customer Gender]]="O","Other", TRUE,"Unknown")</f>
        <v>Male</v>
      </c>
    </row>
    <row r="351" spans="1:15" x14ac:dyDescent="0.3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f t="array" ref="O351">_xlfn.IFS(orders[[#This Row],[Customer Gender]]="M","Male", orders[[#This Row],[Customer Gender]]="F","Female", orders[[#This Row],[Customer Gender]]="O","Other", TRUE,"Unknown")</f>
        <v>Female</v>
      </c>
    </row>
    <row r="352" spans="1:15" x14ac:dyDescent="0.3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f t="array" ref="O352">_xlfn.IFS(orders[[#This Row],[Customer Gender]]="M","Male", orders[[#This Row],[Customer Gender]]="F","Female", orders[[#This Row],[Customer Gender]]="O","Other", TRUE,"Unknown")</f>
        <v>Male</v>
      </c>
    </row>
    <row r="353" spans="1:15" x14ac:dyDescent="0.3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f t="array" ref="O353">_xlfn.IFS(orders[[#This Row],[Customer Gender]]="M","Male", orders[[#This Row],[Customer Gender]]="F","Female", orders[[#This Row],[Customer Gender]]="O","Other", TRUE,"Unknown")</f>
        <v>Female</v>
      </c>
    </row>
    <row r="354" spans="1:15" x14ac:dyDescent="0.3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f t="array" ref="O354">_xlfn.IFS(orders[[#This Row],[Customer Gender]]="M","Male", orders[[#This Row],[Customer Gender]]="F","Female", orders[[#This Row],[Customer Gender]]="O","Other", TRUE,"Unknown")</f>
        <v>Female</v>
      </c>
    </row>
    <row r="355" spans="1:15" x14ac:dyDescent="0.3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f t="array" ref="O355">_xlfn.IFS(orders[[#This Row],[Customer Gender]]="M","Male", orders[[#This Row],[Customer Gender]]="F","Female", orders[[#This Row],[Customer Gender]]="O","Other", TRUE,"Unknown")</f>
        <v>Male</v>
      </c>
    </row>
    <row r="356" spans="1:15" x14ac:dyDescent="0.3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f t="array" ref="O356">_xlfn.IFS(orders[[#This Row],[Customer Gender]]="M","Male", orders[[#This Row],[Customer Gender]]="F","Female", orders[[#This Row],[Customer Gender]]="O","Other", TRUE,"Unknown")</f>
        <v>Male</v>
      </c>
    </row>
    <row r="357" spans="1:15" x14ac:dyDescent="0.3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f t="array" ref="O357">_xlfn.IFS(orders[[#This Row],[Customer Gender]]="M","Male", orders[[#This Row],[Customer Gender]]="F","Female", orders[[#This Row],[Customer Gender]]="O","Other", TRUE,"Unknown")</f>
        <v>Unknown</v>
      </c>
    </row>
    <row r="358" spans="1:15" x14ac:dyDescent="0.3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f t="array" ref="O358">_xlfn.IFS(orders[[#This Row],[Customer Gender]]="M","Male", orders[[#This Row],[Customer Gender]]="F","Female", orders[[#This Row],[Customer Gender]]="O","Other", TRUE,"Unknown")</f>
        <v>Female</v>
      </c>
    </row>
    <row r="359" spans="1:15" x14ac:dyDescent="0.3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f t="array" ref="O359">_xlfn.IFS(orders[[#This Row],[Customer Gender]]="M","Male", orders[[#This Row],[Customer Gender]]="F","Female", orders[[#This Row],[Customer Gender]]="O","Other", TRUE,"Unknown")</f>
        <v>Female</v>
      </c>
    </row>
    <row r="360" spans="1:15" x14ac:dyDescent="0.3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f t="array" ref="O360">_xlfn.IFS(orders[[#This Row],[Customer Gender]]="M","Male", orders[[#This Row],[Customer Gender]]="F","Female", orders[[#This Row],[Customer Gender]]="O","Other", TRUE,"Unknown")</f>
        <v>Female</v>
      </c>
    </row>
    <row r="361" spans="1:15" x14ac:dyDescent="0.3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f t="array" ref="O361">_xlfn.IFS(orders[[#This Row],[Customer Gender]]="M","Male", orders[[#This Row],[Customer Gender]]="F","Female", orders[[#This Row],[Customer Gender]]="O","Other", TRUE,"Unknown")</f>
        <v>Male</v>
      </c>
    </row>
    <row r="362" spans="1:15" x14ac:dyDescent="0.3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f t="array" ref="O362">_xlfn.IFS(orders[[#This Row],[Customer Gender]]="M","Male", orders[[#This Row],[Customer Gender]]="F","Female", orders[[#This Row],[Customer Gender]]="O","Other", TRUE,"Unknown")</f>
        <v>Female</v>
      </c>
    </row>
    <row r="363" spans="1:15" x14ac:dyDescent="0.3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f t="array" ref="O363">_xlfn.IFS(orders[[#This Row],[Customer Gender]]="M","Male", orders[[#This Row],[Customer Gender]]="F","Female", orders[[#This Row],[Customer Gender]]="O","Other", TRUE,"Unknown")</f>
        <v>Other</v>
      </c>
    </row>
    <row r="364" spans="1:15" x14ac:dyDescent="0.3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f t="array" ref="O364">_xlfn.IFS(orders[[#This Row],[Customer Gender]]="M","Male", orders[[#This Row],[Customer Gender]]="F","Female", orders[[#This Row],[Customer Gender]]="O","Other", TRUE,"Unknown")</f>
        <v>Male</v>
      </c>
    </row>
    <row r="365" spans="1:15" x14ac:dyDescent="0.3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f t="array" ref="O365">_xlfn.IFS(orders[[#This Row],[Customer Gender]]="M","Male", orders[[#This Row],[Customer Gender]]="F","Female", orders[[#This Row],[Customer Gender]]="O","Other", TRUE,"Unknown")</f>
        <v>Female</v>
      </c>
    </row>
    <row r="366" spans="1:15" x14ac:dyDescent="0.3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f t="array" ref="O366">_xlfn.IFS(orders[[#This Row],[Customer Gender]]="M","Male", orders[[#This Row],[Customer Gender]]="F","Female", orders[[#This Row],[Customer Gender]]="O","Other", TRUE,"Unknown")</f>
        <v>Male</v>
      </c>
    </row>
    <row r="367" spans="1:15" x14ac:dyDescent="0.3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f t="array" ref="O367">_xlfn.IFS(orders[[#This Row],[Customer Gender]]="M","Male", orders[[#This Row],[Customer Gender]]="F","Female", orders[[#This Row],[Customer Gender]]="O","Other", TRUE,"Unknown")</f>
        <v>Female</v>
      </c>
    </row>
    <row r="368" spans="1:15" x14ac:dyDescent="0.3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f t="array" ref="O368">_xlfn.IFS(orders[[#This Row],[Customer Gender]]="M","Male", orders[[#This Row],[Customer Gender]]="F","Female", orders[[#This Row],[Customer Gender]]="O","Other", TRUE,"Unknown")</f>
        <v>Unknown</v>
      </c>
    </row>
    <row r="369" spans="1:15" x14ac:dyDescent="0.3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f t="array" ref="O369">_xlfn.IFS(orders[[#This Row],[Customer Gender]]="M","Male", orders[[#This Row],[Customer Gender]]="F","Female", orders[[#This Row],[Customer Gender]]="O","Other", TRUE,"Unknown")</f>
        <v>Female</v>
      </c>
    </row>
    <row r="370" spans="1:15" x14ac:dyDescent="0.3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f t="array" ref="O370">_xlfn.IFS(orders[[#This Row],[Customer Gender]]="M","Male", orders[[#This Row],[Customer Gender]]="F","Female", orders[[#This Row],[Customer Gender]]="O","Other", TRUE,"Unknown")</f>
        <v>Male</v>
      </c>
    </row>
    <row r="371" spans="1:15" x14ac:dyDescent="0.3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f t="array" ref="O371">_xlfn.IFS(orders[[#This Row],[Customer Gender]]="M","Male", orders[[#This Row],[Customer Gender]]="F","Female", orders[[#This Row],[Customer Gender]]="O","Other", TRUE,"Unknown")</f>
        <v>Female</v>
      </c>
    </row>
    <row r="372" spans="1:15" x14ac:dyDescent="0.3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f t="array" ref="O372">_xlfn.IFS(orders[[#This Row],[Customer Gender]]="M","Male", orders[[#This Row],[Customer Gender]]="F","Female", orders[[#This Row],[Customer Gender]]="O","Other", TRUE,"Unknown")</f>
        <v>Female</v>
      </c>
    </row>
    <row r="373" spans="1:15" x14ac:dyDescent="0.3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f t="array" ref="O373">_xlfn.IFS(orders[[#This Row],[Customer Gender]]="M","Male", orders[[#This Row],[Customer Gender]]="F","Female", orders[[#This Row],[Customer Gender]]="O","Other", TRUE,"Unknown")</f>
        <v>Male</v>
      </c>
    </row>
    <row r="374" spans="1:15" x14ac:dyDescent="0.3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f t="array" ref="O374">_xlfn.IFS(orders[[#This Row],[Customer Gender]]="M","Male", orders[[#This Row],[Customer Gender]]="F","Female", orders[[#This Row],[Customer Gender]]="O","Other", TRUE,"Unknown")</f>
        <v>Male</v>
      </c>
    </row>
    <row r="375" spans="1:15" x14ac:dyDescent="0.3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f t="array" ref="O375">_xlfn.IFS(orders[[#This Row],[Customer Gender]]="M","Male", orders[[#This Row],[Customer Gender]]="F","Female", orders[[#This Row],[Customer Gender]]="O","Other", TRUE,"Unknown")</f>
        <v>Unknown</v>
      </c>
    </row>
    <row r="376" spans="1:15" x14ac:dyDescent="0.3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f t="array" ref="O376">_xlfn.IFS(orders[[#This Row],[Customer Gender]]="M","Male", orders[[#This Row],[Customer Gender]]="F","Female", orders[[#This Row],[Customer Gender]]="O","Other", TRUE,"Unknown")</f>
        <v>Male</v>
      </c>
    </row>
    <row r="377" spans="1:15" x14ac:dyDescent="0.3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f t="array" ref="O377">_xlfn.IFS(orders[[#This Row],[Customer Gender]]="M","Male", orders[[#This Row],[Customer Gender]]="F","Female", orders[[#This Row],[Customer Gender]]="O","Other", TRUE,"Unknown")</f>
        <v>Female</v>
      </c>
    </row>
    <row r="378" spans="1:15" x14ac:dyDescent="0.3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f t="array" ref="O378">_xlfn.IFS(orders[[#This Row],[Customer Gender]]="M","Male", orders[[#This Row],[Customer Gender]]="F","Female", orders[[#This Row],[Customer Gender]]="O","Other", TRUE,"Unknown")</f>
        <v>Other</v>
      </c>
    </row>
    <row r="379" spans="1:15" x14ac:dyDescent="0.3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f t="array" ref="O379">_xlfn.IFS(orders[[#This Row],[Customer Gender]]="M","Male", orders[[#This Row],[Customer Gender]]="F","Female", orders[[#This Row],[Customer Gender]]="O","Other", TRUE,"Unknown")</f>
        <v>Female</v>
      </c>
    </row>
    <row r="380" spans="1:15" x14ac:dyDescent="0.3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f t="array" ref="O380">_xlfn.IFS(orders[[#This Row],[Customer Gender]]="M","Male", orders[[#This Row],[Customer Gender]]="F","Female", orders[[#This Row],[Customer Gender]]="O","Other", TRUE,"Unknown")</f>
        <v>Female</v>
      </c>
    </row>
    <row r="381" spans="1:15" x14ac:dyDescent="0.3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f t="array" ref="O381">_xlfn.IFS(orders[[#This Row],[Customer Gender]]="M","Male", orders[[#This Row],[Customer Gender]]="F","Female", orders[[#This Row],[Customer Gender]]="O","Other", TRUE,"Unknown")</f>
        <v>Female</v>
      </c>
    </row>
    <row r="382" spans="1:15" x14ac:dyDescent="0.3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f t="array" ref="O382">_xlfn.IFS(orders[[#This Row],[Customer Gender]]="M","Male", orders[[#This Row],[Customer Gender]]="F","Female", orders[[#This Row],[Customer Gender]]="O","Other", TRUE,"Unknown")</f>
        <v>Male</v>
      </c>
    </row>
    <row r="383" spans="1:15" x14ac:dyDescent="0.3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f t="array" ref="O383">_xlfn.IFS(orders[[#This Row],[Customer Gender]]="M","Male", orders[[#This Row],[Customer Gender]]="F","Female", orders[[#This Row],[Customer Gender]]="O","Other", TRUE,"Unknown")</f>
        <v>Other</v>
      </c>
    </row>
    <row r="384" spans="1:15" x14ac:dyDescent="0.3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f t="array" ref="O384">_xlfn.IFS(orders[[#This Row],[Customer Gender]]="M","Male", orders[[#This Row],[Customer Gender]]="F","Female", orders[[#This Row],[Customer Gender]]="O","Other", TRUE,"Unknown")</f>
        <v>Male</v>
      </c>
    </row>
    <row r="385" spans="1:15" x14ac:dyDescent="0.3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f t="array" ref="O385">_xlfn.IFS(orders[[#This Row],[Customer Gender]]="M","Male", orders[[#This Row],[Customer Gender]]="F","Female", orders[[#This Row],[Customer Gender]]="O","Other", TRUE,"Unknown")</f>
        <v>Female</v>
      </c>
    </row>
    <row r="386" spans="1:15" x14ac:dyDescent="0.3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f t="array" ref="O386">_xlfn.IFS(orders[[#This Row],[Customer Gender]]="M","Male", orders[[#This Row],[Customer Gender]]="F","Female", orders[[#This Row],[Customer Gender]]="O","Other", TRUE,"Unknown")</f>
        <v>Female</v>
      </c>
    </row>
    <row r="387" spans="1:15" x14ac:dyDescent="0.3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f t="array" ref="O387">_xlfn.IFS(orders[[#This Row],[Customer Gender]]="M","Male", orders[[#This Row],[Customer Gender]]="F","Female", orders[[#This Row],[Customer Gender]]="O","Other", TRUE,"Unknown")</f>
        <v>Unknown</v>
      </c>
    </row>
    <row r="388" spans="1:15" x14ac:dyDescent="0.3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f t="array" ref="O388">_xlfn.IFS(orders[[#This Row],[Customer Gender]]="M","Male", orders[[#This Row],[Customer Gender]]="F","Female", orders[[#This Row],[Customer Gender]]="O","Other", TRUE,"Unknown")</f>
        <v>Male</v>
      </c>
    </row>
    <row r="389" spans="1:15" x14ac:dyDescent="0.3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f t="array" ref="O389">_xlfn.IFS(orders[[#This Row],[Customer Gender]]="M","Male", orders[[#This Row],[Customer Gender]]="F","Female", orders[[#This Row],[Customer Gender]]="O","Other", TRUE,"Unknown")</f>
        <v>Male</v>
      </c>
    </row>
    <row r="390" spans="1:15" x14ac:dyDescent="0.3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f t="array" ref="O390">_xlfn.IFS(orders[[#This Row],[Customer Gender]]="M","Male", orders[[#This Row],[Customer Gender]]="F","Female", orders[[#This Row],[Customer Gender]]="O","Other", TRUE,"Unknown")</f>
        <v>Female</v>
      </c>
    </row>
    <row r="391" spans="1:15" x14ac:dyDescent="0.3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f t="array" ref="O391">_xlfn.IFS(orders[[#This Row],[Customer Gender]]="M","Male", orders[[#This Row],[Customer Gender]]="F","Female", orders[[#This Row],[Customer Gender]]="O","Other", TRUE,"Unknown")</f>
        <v>Male</v>
      </c>
    </row>
    <row r="392" spans="1:15" x14ac:dyDescent="0.3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f t="array" ref="O392">_xlfn.IFS(orders[[#This Row],[Customer Gender]]="M","Male", orders[[#This Row],[Customer Gender]]="F","Female", orders[[#This Row],[Customer Gender]]="O","Other", TRUE,"Unknown")</f>
        <v>Female</v>
      </c>
    </row>
    <row r="393" spans="1:15" x14ac:dyDescent="0.3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f t="array" ref="O393">_xlfn.IFS(orders[[#This Row],[Customer Gender]]="M","Male", orders[[#This Row],[Customer Gender]]="F","Female", orders[[#This Row],[Customer Gender]]="O","Other", TRUE,"Unknown")</f>
        <v>Male</v>
      </c>
    </row>
    <row r="394" spans="1:15" x14ac:dyDescent="0.3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f t="array" ref="O394">_xlfn.IFS(orders[[#This Row],[Customer Gender]]="M","Male", orders[[#This Row],[Customer Gender]]="F","Female", orders[[#This Row],[Customer Gender]]="O","Other", TRUE,"Unknown")</f>
        <v>Female</v>
      </c>
    </row>
    <row r="395" spans="1:15" x14ac:dyDescent="0.3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f t="array" ref="O395">_xlfn.IFS(orders[[#This Row],[Customer Gender]]="M","Male", orders[[#This Row],[Customer Gender]]="F","Female", orders[[#This Row],[Customer Gender]]="O","Other", TRUE,"Unknown")</f>
        <v>Male</v>
      </c>
    </row>
    <row r="396" spans="1:15" x14ac:dyDescent="0.3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f t="array" ref="O396">_xlfn.IFS(orders[[#This Row],[Customer Gender]]="M","Male", orders[[#This Row],[Customer Gender]]="F","Female", orders[[#This Row],[Customer Gender]]="O","Other", TRUE,"Unknown")</f>
        <v>Male</v>
      </c>
    </row>
    <row r="397" spans="1:15" x14ac:dyDescent="0.3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f t="array" ref="O397">_xlfn.IFS(orders[[#This Row],[Customer Gender]]="M","Male", orders[[#This Row],[Customer Gender]]="F","Female", orders[[#This Row],[Customer Gender]]="O","Other", TRUE,"Unknown")</f>
        <v>Other</v>
      </c>
    </row>
    <row r="398" spans="1:15" x14ac:dyDescent="0.3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f t="array" ref="O398">_xlfn.IFS(orders[[#This Row],[Customer Gender]]="M","Male", orders[[#This Row],[Customer Gender]]="F","Female", orders[[#This Row],[Customer Gender]]="O","Other", TRUE,"Unknown")</f>
        <v>Male</v>
      </c>
    </row>
    <row r="399" spans="1:15" x14ac:dyDescent="0.3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f t="array" ref="O399">_xlfn.IFS(orders[[#This Row],[Customer Gender]]="M","Male", orders[[#This Row],[Customer Gender]]="F","Female", orders[[#This Row],[Customer Gender]]="O","Other", TRUE,"Unknown")</f>
        <v>Female</v>
      </c>
    </row>
    <row r="400" spans="1:15" x14ac:dyDescent="0.3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f t="array" ref="O400">_xlfn.IFS(orders[[#This Row],[Customer Gender]]="M","Male", orders[[#This Row],[Customer Gender]]="F","Female", orders[[#This Row],[Customer Gender]]="O","Other", TRUE,"Unknown")</f>
        <v>Male</v>
      </c>
    </row>
    <row r="401" spans="1:15" x14ac:dyDescent="0.3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f t="array" ref="O401">_xlfn.IFS(orders[[#This Row],[Customer Gender]]="M","Male", orders[[#This Row],[Customer Gender]]="F","Female", orders[[#This Row],[Customer Gender]]="O","Other", TRUE,"Unknown")</f>
        <v>Male</v>
      </c>
    </row>
    <row r="402" spans="1:15" x14ac:dyDescent="0.3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f t="array" ref="O402">_xlfn.IFS(orders[[#This Row],[Customer Gender]]="M","Male", orders[[#This Row],[Customer Gender]]="F","Female", orders[[#This Row],[Customer Gender]]="O","Other", TRUE,"Unknown")</f>
        <v>Male</v>
      </c>
    </row>
    <row r="403" spans="1:15" x14ac:dyDescent="0.3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f t="array" ref="O403">_xlfn.IFS(orders[[#This Row],[Customer Gender]]="M","Male", orders[[#This Row],[Customer Gender]]="F","Female", orders[[#This Row],[Customer Gender]]="O","Other", TRUE,"Unknown")</f>
        <v>Female</v>
      </c>
    </row>
    <row r="404" spans="1:15" x14ac:dyDescent="0.3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f t="array" ref="O404">_xlfn.IFS(orders[[#This Row],[Customer Gender]]="M","Male", orders[[#This Row],[Customer Gender]]="F","Female", orders[[#This Row],[Customer Gender]]="O","Other", TRUE,"Unknown")</f>
        <v>Female</v>
      </c>
    </row>
    <row r="405" spans="1:15" x14ac:dyDescent="0.3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f t="array" ref="O405">_xlfn.IFS(orders[[#This Row],[Customer Gender]]="M","Male", orders[[#This Row],[Customer Gender]]="F","Female", orders[[#This Row],[Customer Gender]]="O","Other", TRUE,"Unknown")</f>
        <v>Other</v>
      </c>
    </row>
    <row r="406" spans="1:15" x14ac:dyDescent="0.3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f t="array" ref="O406">_xlfn.IFS(orders[[#This Row],[Customer Gender]]="M","Male", orders[[#This Row],[Customer Gender]]="F","Female", orders[[#This Row],[Customer Gender]]="O","Other", TRUE,"Unknown")</f>
        <v>Female</v>
      </c>
    </row>
    <row r="407" spans="1:15" x14ac:dyDescent="0.3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f t="array" ref="O407">_xlfn.IFS(orders[[#This Row],[Customer Gender]]="M","Male", orders[[#This Row],[Customer Gender]]="F","Female", orders[[#This Row],[Customer Gender]]="O","Other", TRUE,"Unknown")</f>
        <v>Female</v>
      </c>
    </row>
    <row r="408" spans="1:15" x14ac:dyDescent="0.3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f t="array" ref="O408">_xlfn.IFS(orders[[#This Row],[Customer Gender]]="M","Male", orders[[#This Row],[Customer Gender]]="F","Female", orders[[#This Row],[Customer Gender]]="O","Other", TRUE,"Unknown")</f>
        <v>Female</v>
      </c>
    </row>
    <row r="409" spans="1:15" x14ac:dyDescent="0.3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f t="array" ref="O409">_xlfn.IFS(orders[[#This Row],[Customer Gender]]="M","Male", orders[[#This Row],[Customer Gender]]="F","Female", orders[[#This Row],[Customer Gender]]="O","Other", TRUE,"Unknown")</f>
        <v>Male</v>
      </c>
    </row>
    <row r="410" spans="1:15" x14ac:dyDescent="0.3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f t="array" ref="O410">_xlfn.IFS(orders[[#This Row],[Customer Gender]]="M","Male", orders[[#This Row],[Customer Gender]]="F","Female", orders[[#This Row],[Customer Gender]]="O","Other", TRUE,"Unknown")</f>
        <v>Male</v>
      </c>
    </row>
    <row r="411" spans="1:15" x14ac:dyDescent="0.3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f t="array" ref="O411">_xlfn.IFS(orders[[#This Row],[Customer Gender]]="M","Male", orders[[#This Row],[Customer Gender]]="F","Female", orders[[#This Row],[Customer Gender]]="O","Other", TRUE,"Unknown")</f>
        <v>Male</v>
      </c>
    </row>
    <row r="412" spans="1:15" x14ac:dyDescent="0.3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f t="array" ref="O412">_xlfn.IFS(orders[[#This Row],[Customer Gender]]="M","Male", orders[[#This Row],[Customer Gender]]="F","Female", orders[[#This Row],[Customer Gender]]="O","Other", TRUE,"Unknown")</f>
        <v>Female</v>
      </c>
    </row>
    <row r="413" spans="1:15" x14ac:dyDescent="0.3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f t="array" ref="O413">_xlfn.IFS(orders[[#This Row],[Customer Gender]]="M","Male", orders[[#This Row],[Customer Gender]]="F","Female", orders[[#This Row],[Customer Gender]]="O","Other", TRUE,"Unknown")</f>
        <v>Male</v>
      </c>
    </row>
    <row r="414" spans="1:15" x14ac:dyDescent="0.3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f t="array" ref="O414">_xlfn.IFS(orders[[#This Row],[Customer Gender]]="M","Male", orders[[#This Row],[Customer Gender]]="F","Female", orders[[#This Row],[Customer Gender]]="O","Other", TRUE,"Unknown")</f>
        <v>Male</v>
      </c>
    </row>
    <row r="415" spans="1:15" x14ac:dyDescent="0.3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f t="array" ref="O415">_xlfn.IFS(orders[[#This Row],[Customer Gender]]="M","Male", orders[[#This Row],[Customer Gender]]="F","Female", orders[[#This Row],[Customer Gender]]="O","Other", TRUE,"Unknown")</f>
        <v>Female</v>
      </c>
    </row>
    <row r="416" spans="1:15" x14ac:dyDescent="0.3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f t="array" ref="O416">_xlfn.IFS(orders[[#This Row],[Customer Gender]]="M","Male", orders[[#This Row],[Customer Gender]]="F","Female", orders[[#This Row],[Customer Gender]]="O","Other", TRUE,"Unknown")</f>
        <v>Unknown</v>
      </c>
    </row>
    <row r="417" spans="1:15" x14ac:dyDescent="0.3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f t="array" ref="O417">_xlfn.IFS(orders[[#This Row],[Customer Gender]]="M","Male", orders[[#This Row],[Customer Gender]]="F","Female", orders[[#This Row],[Customer Gender]]="O","Other", TRUE,"Unknown")</f>
        <v>Female</v>
      </c>
    </row>
    <row r="418" spans="1:15" x14ac:dyDescent="0.3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f t="array" ref="O418">_xlfn.IFS(orders[[#This Row],[Customer Gender]]="M","Male", orders[[#This Row],[Customer Gender]]="F","Female", orders[[#This Row],[Customer Gender]]="O","Other", TRUE,"Unknown")</f>
        <v>Other</v>
      </c>
    </row>
    <row r="419" spans="1:15" x14ac:dyDescent="0.3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f t="array" ref="O419">_xlfn.IFS(orders[[#This Row],[Customer Gender]]="M","Male", orders[[#This Row],[Customer Gender]]="F","Female", orders[[#This Row],[Customer Gender]]="O","Other", TRUE,"Unknown")</f>
        <v>Male</v>
      </c>
    </row>
    <row r="420" spans="1:15" x14ac:dyDescent="0.3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f t="array" ref="O420">_xlfn.IFS(orders[[#This Row],[Customer Gender]]="M","Male", orders[[#This Row],[Customer Gender]]="F","Female", orders[[#This Row],[Customer Gender]]="O","Other", TRUE,"Unknown")</f>
        <v>Female</v>
      </c>
    </row>
    <row r="421" spans="1:15" x14ac:dyDescent="0.3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f t="array" ref="O421">_xlfn.IFS(orders[[#This Row],[Customer Gender]]="M","Male", orders[[#This Row],[Customer Gender]]="F","Female", orders[[#This Row],[Customer Gender]]="O","Other", TRUE,"Unknown")</f>
        <v>Male</v>
      </c>
    </row>
    <row r="422" spans="1:15" x14ac:dyDescent="0.3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f t="array" ref="O422">_xlfn.IFS(orders[[#This Row],[Customer Gender]]="M","Male", orders[[#This Row],[Customer Gender]]="F","Female", orders[[#This Row],[Customer Gender]]="O","Other", TRUE,"Unknown")</f>
        <v>Male</v>
      </c>
    </row>
    <row r="423" spans="1:15" x14ac:dyDescent="0.3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f t="array" ref="O423">_xlfn.IFS(orders[[#This Row],[Customer Gender]]="M","Male", orders[[#This Row],[Customer Gender]]="F","Female", orders[[#This Row],[Customer Gender]]="O","Other", TRUE,"Unknown")</f>
        <v>Female</v>
      </c>
    </row>
    <row r="424" spans="1:15" x14ac:dyDescent="0.3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f t="array" ref="O424">_xlfn.IFS(orders[[#This Row],[Customer Gender]]="M","Male", orders[[#This Row],[Customer Gender]]="F","Female", orders[[#This Row],[Customer Gender]]="O","Other", TRUE,"Unknown")</f>
        <v>Male</v>
      </c>
    </row>
    <row r="425" spans="1:15" x14ac:dyDescent="0.3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f t="array" ref="O425">_xlfn.IFS(orders[[#This Row],[Customer Gender]]="M","Male", orders[[#This Row],[Customer Gender]]="F","Female", orders[[#This Row],[Customer Gender]]="O","Other", TRUE,"Unknown")</f>
        <v>Other</v>
      </c>
    </row>
    <row r="426" spans="1:15" x14ac:dyDescent="0.3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f t="array" ref="O426">_xlfn.IFS(orders[[#This Row],[Customer Gender]]="M","Male", orders[[#This Row],[Customer Gender]]="F","Female", orders[[#This Row],[Customer Gender]]="O","Other", TRUE,"Unknown")</f>
        <v>Female</v>
      </c>
    </row>
    <row r="427" spans="1:15" x14ac:dyDescent="0.3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f t="array" ref="O427">_xlfn.IFS(orders[[#This Row],[Customer Gender]]="M","Male", orders[[#This Row],[Customer Gender]]="F","Female", orders[[#This Row],[Customer Gender]]="O","Other", TRUE,"Unknown")</f>
        <v>Female</v>
      </c>
    </row>
    <row r="428" spans="1:15" x14ac:dyDescent="0.3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f t="array" ref="O428">_xlfn.IFS(orders[[#This Row],[Customer Gender]]="M","Male", orders[[#This Row],[Customer Gender]]="F","Female", orders[[#This Row],[Customer Gender]]="O","Other", TRUE,"Unknown")</f>
        <v>Female</v>
      </c>
    </row>
    <row r="429" spans="1:15" x14ac:dyDescent="0.3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f t="array" ref="O429">_xlfn.IFS(orders[[#This Row],[Customer Gender]]="M","Male", orders[[#This Row],[Customer Gender]]="F","Female", orders[[#This Row],[Customer Gender]]="O","Other", TRUE,"Unknown")</f>
        <v>Male</v>
      </c>
    </row>
    <row r="430" spans="1:15" x14ac:dyDescent="0.3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f t="array" ref="O430">_xlfn.IFS(orders[[#This Row],[Customer Gender]]="M","Male", orders[[#This Row],[Customer Gender]]="F","Female", orders[[#This Row],[Customer Gender]]="O","Other", TRUE,"Unknown")</f>
        <v>Female</v>
      </c>
    </row>
    <row r="431" spans="1:15" x14ac:dyDescent="0.3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f t="array" ref="O431">_xlfn.IFS(orders[[#This Row],[Customer Gender]]="M","Male", orders[[#This Row],[Customer Gender]]="F","Female", orders[[#This Row],[Customer Gender]]="O","Other", TRUE,"Unknown")</f>
        <v>Female</v>
      </c>
    </row>
    <row r="432" spans="1:15" x14ac:dyDescent="0.3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f t="array" ref="O432">_xlfn.IFS(orders[[#This Row],[Customer Gender]]="M","Male", orders[[#This Row],[Customer Gender]]="F","Female", orders[[#This Row],[Customer Gender]]="O","Other", TRUE,"Unknown")</f>
        <v>Female</v>
      </c>
    </row>
    <row r="433" spans="1:15" x14ac:dyDescent="0.3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f t="array" ref="O433">_xlfn.IFS(orders[[#This Row],[Customer Gender]]="M","Male", orders[[#This Row],[Customer Gender]]="F","Female", orders[[#This Row],[Customer Gender]]="O","Other", TRUE,"Unknown")</f>
        <v>Female</v>
      </c>
    </row>
    <row r="434" spans="1:15" x14ac:dyDescent="0.3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f t="array" ref="O434">_xlfn.IFS(orders[[#This Row],[Customer Gender]]="M","Male", orders[[#This Row],[Customer Gender]]="F","Female", orders[[#This Row],[Customer Gender]]="O","Other", TRUE,"Unknown")</f>
        <v>Female</v>
      </c>
    </row>
    <row r="435" spans="1:15" x14ac:dyDescent="0.3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f t="array" ref="O435">_xlfn.IFS(orders[[#This Row],[Customer Gender]]="M","Male", orders[[#This Row],[Customer Gender]]="F","Female", orders[[#This Row],[Customer Gender]]="O","Other", TRUE,"Unknown")</f>
        <v>Male</v>
      </c>
    </row>
    <row r="436" spans="1:15" x14ac:dyDescent="0.3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f t="array" ref="O436">_xlfn.IFS(orders[[#This Row],[Customer Gender]]="M","Male", orders[[#This Row],[Customer Gender]]="F","Female", orders[[#This Row],[Customer Gender]]="O","Other", TRUE,"Unknown")</f>
        <v>Female</v>
      </c>
    </row>
    <row r="437" spans="1:15" x14ac:dyDescent="0.3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f t="array" ref="O437">_xlfn.IFS(orders[[#This Row],[Customer Gender]]="M","Male", orders[[#This Row],[Customer Gender]]="F","Female", orders[[#This Row],[Customer Gender]]="O","Other", TRUE,"Unknown")</f>
        <v>Male</v>
      </c>
    </row>
    <row r="438" spans="1:15" x14ac:dyDescent="0.3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f t="array" ref="O438">_xlfn.IFS(orders[[#This Row],[Customer Gender]]="M","Male", orders[[#This Row],[Customer Gender]]="F","Female", orders[[#This Row],[Customer Gender]]="O","Other", TRUE,"Unknown")</f>
        <v>Female</v>
      </c>
    </row>
    <row r="439" spans="1:15" x14ac:dyDescent="0.3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f t="array" ref="O439">_xlfn.IFS(orders[[#This Row],[Customer Gender]]="M","Male", orders[[#This Row],[Customer Gender]]="F","Female", orders[[#This Row],[Customer Gender]]="O","Other", TRUE,"Unknown")</f>
        <v>Male</v>
      </c>
    </row>
    <row r="440" spans="1:15" x14ac:dyDescent="0.3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f t="array" ref="O440">_xlfn.IFS(orders[[#This Row],[Customer Gender]]="M","Male", orders[[#This Row],[Customer Gender]]="F","Female", orders[[#This Row],[Customer Gender]]="O","Other", TRUE,"Unknown")</f>
        <v>Female</v>
      </c>
    </row>
    <row r="441" spans="1:15" x14ac:dyDescent="0.3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f t="array" ref="O441">_xlfn.IFS(orders[[#This Row],[Customer Gender]]="M","Male", orders[[#This Row],[Customer Gender]]="F","Female", orders[[#This Row],[Customer Gender]]="O","Other", TRUE,"Unknown")</f>
        <v>Female</v>
      </c>
    </row>
    <row r="442" spans="1:15" x14ac:dyDescent="0.3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f t="array" ref="O442">_xlfn.IFS(orders[[#This Row],[Customer Gender]]="M","Male", orders[[#This Row],[Customer Gender]]="F","Female", orders[[#This Row],[Customer Gender]]="O","Other", TRUE,"Unknown")</f>
        <v>Male</v>
      </c>
    </row>
    <row r="443" spans="1:15" x14ac:dyDescent="0.3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f t="array" ref="O443">_xlfn.IFS(orders[[#This Row],[Customer Gender]]="M","Male", orders[[#This Row],[Customer Gender]]="F","Female", orders[[#This Row],[Customer Gender]]="O","Other", TRUE,"Unknown")</f>
        <v>Female</v>
      </c>
    </row>
    <row r="444" spans="1:15" x14ac:dyDescent="0.3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f t="array" ref="O444">_xlfn.IFS(orders[[#This Row],[Customer Gender]]="M","Male", orders[[#This Row],[Customer Gender]]="F","Female", orders[[#This Row],[Customer Gender]]="O","Other", TRUE,"Unknown")</f>
        <v>Other</v>
      </c>
    </row>
    <row r="445" spans="1:15" x14ac:dyDescent="0.3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f t="array" ref="O445">_xlfn.IFS(orders[[#This Row],[Customer Gender]]="M","Male", orders[[#This Row],[Customer Gender]]="F","Female", orders[[#This Row],[Customer Gender]]="O","Other", TRUE,"Unknown")</f>
        <v>Male</v>
      </c>
    </row>
    <row r="446" spans="1:15" x14ac:dyDescent="0.3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f t="array" ref="O446">_xlfn.IFS(orders[[#This Row],[Customer Gender]]="M","Male", orders[[#This Row],[Customer Gender]]="F","Female", orders[[#This Row],[Customer Gender]]="O","Other", TRUE,"Unknown")</f>
        <v>Female</v>
      </c>
    </row>
    <row r="447" spans="1:15" x14ac:dyDescent="0.3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f t="array" ref="O447">_xlfn.IFS(orders[[#This Row],[Customer Gender]]="M","Male", orders[[#This Row],[Customer Gender]]="F","Female", orders[[#This Row],[Customer Gender]]="O","Other", TRUE,"Unknown")</f>
        <v>Female</v>
      </c>
    </row>
    <row r="448" spans="1:15" x14ac:dyDescent="0.3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f t="array" ref="O448">_xlfn.IFS(orders[[#This Row],[Customer Gender]]="M","Male", orders[[#This Row],[Customer Gender]]="F","Female", orders[[#This Row],[Customer Gender]]="O","Other", TRUE,"Unknown")</f>
        <v>Female</v>
      </c>
    </row>
    <row r="449" spans="1:15" x14ac:dyDescent="0.3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f t="array" ref="O449">_xlfn.IFS(orders[[#This Row],[Customer Gender]]="M","Male", orders[[#This Row],[Customer Gender]]="F","Female", orders[[#This Row],[Customer Gender]]="O","Other", TRUE,"Unknown")</f>
        <v>Male</v>
      </c>
    </row>
    <row r="450" spans="1:15" x14ac:dyDescent="0.3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f t="array" ref="O450">_xlfn.IFS(orders[[#This Row],[Customer Gender]]="M","Male", orders[[#This Row],[Customer Gender]]="F","Female", orders[[#This Row],[Customer Gender]]="O","Other", TRUE,"Unknown")</f>
        <v>Female</v>
      </c>
    </row>
    <row r="451" spans="1:15" x14ac:dyDescent="0.3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f t="array" ref="O451">_xlfn.IFS(orders[[#This Row],[Customer Gender]]="M","Male", orders[[#This Row],[Customer Gender]]="F","Female", orders[[#This Row],[Customer Gender]]="O","Other", TRUE,"Unknown")</f>
        <v>Female</v>
      </c>
    </row>
    <row r="452" spans="1:15" x14ac:dyDescent="0.3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f t="array" ref="O452">_xlfn.IFS(orders[[#This Row],[Customer Gender]]="M","Male", orders[[#This Row],[Customer Gender]]="F","Female", orders[[#This Row],[Customer Gender]]="O","Other", TRUE,"Unknown")</f>
        <v>Unknown</v>
      </c>
    </row>
    <row r="453" spans="1:15" x14ac:dyDescent="0.3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f t="array" ref="O453">_xlfn.IFS(orders[[#This Row],[Customer Gender]]="M","Male", orders[[#This Row],[Customer Gender]]="F","Female", orders[[#This Row],[Customer Gender]]="O","Other", TRUE,"Unknown")</f>
        <v>Female</v>
      </c>
    </row>
    <row r="454" spans="1:15" x14ac:dyDescent="0.3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f t="array" ref="O454">_xlfn.IFS(orders[[#This Row],[Customer Gender]]="M","Male", orders[[#This Row],[Customer Gender]]="F","Female", orders[[#This Row],[Customer Gender]]="O","Other", TRUE,"Unknown")</f>
        <v>Female</v>
      </c>
    </row>
    <row r="455" spans="1:15" x14ac:dyDescent="0.3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f t="array" ref="O455">_xlfn.IFS(orders[[#This Row],[Customer Gender]]="M","Male", orders[[#This Row],[Customer Gender]]="F","Female", orders[[#This Row],[Customer Gender]]="O","Other", TRUE,"Unknown")</f>
        <v>Female</v>
      </c>
    </row>
    <row r="456" spans="1:15" x14ac:dyDescent="0.3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f t="array" ref="O456">_xlfn.IFS(orders[[#This Row],[Customer Gender]]="M","Male", orders[[#This Row],[Customer Gender]]="F","Female", orders[[#This Row],[Customer Gender]]="O","Other", TRUE,"Unknown")</f>
        <v>Female</v>
      </c>
    </row>
    <row r="457" spans="1:15" x14ac:dyDescent="0.3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f t="array" ref="O457">_xlfn.IFS(orders[[#This Row],[Customer Gender]]="M","Male", orders[[#This Row],[Customer Gender]]="F","Female", orders[[#This Row],[Customer Gender]]="O","Other", TRUE,"Unknown")</f>
        <v>Female</v>
      </c>
    </row>
    <row r="458" spans="1:15" x14ac:dyDescent="0.3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f t="array" ref="O458">_xlfn.IFS(orders[[#This Row],[Customer Gender]]="M","Male", orders[[#This Row],[Customer Gender]]="F","Female", orders[[#This Row],[Customer Gender]]="O","Other", TRUE,"Unknown")</f>
        <v>Female</v>
      </c>
    </row>
    <row r="459" spans="1:15" x14ac:dyDescent="0.3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f t="array" ref="O459">_xlfn.IFS(orders[[#This Row],[Customer Gender]]="M","Male", orders[[#This Row],[Customer Gender]]="F","Female", orders[[#This Row],[Customer Gender]]="O","Other", TRUE,"Unknown")</f>
        <v>Female</v>
      </c>
    </row>
    <row r="460" spans="1:15" x14ac:dyDescent="0.3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f t="array" ref="O460">_xlfn.IFS(orders[[#This Row],[Customer Gender]]="M","Male", orders[[#This Row],[Customer Gender]]="F","Female", orders[[#This Row],[Customer Gender]]="O","Other", TRUE,"Unknown")</f>
        <v>Female</v>
      </c>
    </row>
    <row r="461" spans="1:15" x14ac:dyDescent="0.3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f t="array" ref="O461">_xlfn.IFS(orders[[#This Row],[Customer Gender]]="M","Male", orders[[#This Row],[Customer Gender]]="F","Female", orders[[#This Row],[Customer Gender]]="O","Other", TRUE,"Unknown")</f>
        <v>Male</v>
      </c>
    </row>
    <row r="462" spans="1:15" x14ac:dyDescent="0.3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f t="array" ref="O462">_xlfn.IFS(orders[[#This Row],[Customer Gender]]="M","Male", orders[[#This Row],[Customer Gender]]="F","Female", orders[[#This Row],[Customer Gender]]="O","Other", TRUE,"Unknown")</f>
        <v>Female</v>
      </c>
    </row>
    <row r="463" spans="1:15" x14ac:dyDescent="0.3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f t="array" ref="O463">_xlfn.IFS(orders[[#This Row],[Customer Gender]]="M","Male", orders[[#This Row],[Customer Gender]]="F","Female", orders[[#This Row],[Customer Gender]]="O","Other", TRUE,"Unknown")</f>
        <v>Male</v>
      </c>
    </row>
    <row r="464" spans="1:15" x14ac:dyDescent="0.3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f t="array" ref="O464">_xlfn.IFS(orders[[#This Row],[Customer Gender]]="M","Male", orders[[#This Row],[Customer Gender]]="F","Female", orders[[#This Row],[Customer Gender]]="O","Other", TRUE,"Unknown")</f>
        <v>Male</v>
      </c>
    </row>
    <row r="465" spans="1:15" x14ac:dyDescent="0.3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f t="array" ref="O465">_xlfn.IFS(orders[[#This Row],[Customer Gender]]="M","Male", orders[[#This Row],[Customer Gender]]="F","Female", orders[[#This Row],[Customer Gender]]="O","Other", TRUE,"Unknown")</f>
        <v>Male</v>
      </c>
    </row>
    <row r="466" spans="1:15" x14ac:dyDescent="0.3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f t="array" ref="O466">_xlfn.IFS(orders[[#This Row],[Customer Gender]]="M","Male", orders[[#This Row],[Customer Gender]]="F","Female", orders[[#This Row],[Customer Gender]]="O","Other", TRUE,"Unknown")</f>
        <v>Unknown</v>
      </c>
    </row>
    <row r="467" spans="1:15" x14ac:dyDescent="0.3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f t="array" ref="O467">_xlfn.IFS(orders[[#This Row],[Customer Gender]]="M","Male", orders[[#This Row],[Customer Gender]]="F","Female", orders[[#This Row],[Customer Gender]]="O","Other", TRUE,"Unknown")</f>
        <v>Male</v>
      </c>
    </row>
    <row r="468" spans="1:15" x14ac:dyDescent="0.3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f t="array" ref="O468">_xlfn.IFS(orders[[#This Row],[Customer Gender]]="M","Male", orders[[#This Row],[Customer Gender]]="F","Female", orders[[#This Row],[Customer Gender]]="O","Other", TRUE,"Unknown")</f>
        <v>Female</v>
      </c>
    </row>
    <row r="469" spans="1:15" x14ac:dyDescent="0.3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f t="array" ref="O469">_xlfn.IFS(orders[[#This Row],[Customer Gender]]="M","Male", orders[[#This Row],[Customer Gender]]="F","Female", orders[[#This Row],[Customer Gender]]="O","Other", TRUE,"Unknown")</f>
        <v>Female</v>
      </c>
    </row>
    <row r="470" spans="1:15" x14ac:dyDescent="0.3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f t="array" ref="O470">_xlfn.IFS(orders[[#This Row],[Customer Gender]]="M","Male", orders[[#This Row],[Customer Gender]]="F","Female", orders[[#This Row],[Customer Gender]]="O","Other", TRUE,"Unknown")</f>
        <v>Male</v>
      </c>
    </row>
    <row r="471" spans="1:15" x14ac:dyDescent="0.3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f t="array" ref="O471">_xlfn.IFS(orders[[#This Row],[Customer Gender]]="M","Male", orders[[#This Row],[Customer Gender]]="F","Female", orders[[#This Row],[Customer Gender]]="O","Other", TRUE,"Unknown")</f>
        <v>Male</v>
      </c>
    </row>
    <row r="472" spans="1:15" x14ac:dyDescent="0.3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f t="array" ref="O472">_xlfn.IFS(orders[[#This Row],[Customer Gender]]="M","Male", orders[[#This Row],[Customer Gender]]="F","Female", orders[[#This Row],[Customer Gender]]="O","Other", TRUE,"Unknown")</f>
        <v>Female</v>
      </c>
    </row>
    <row r="473" spans="1:15" x14ac:dyDescent="0.3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f t="array" ref="O473">_xlfn.IFS(orders[[#This Row],[Customer Gender]]="M","Male", orders[[#This Row],[Customer Gender]]="F","Female", orders[[#This Row],[Customer Gender]]="O","Other", TRUE,"Unknown")</f>
        <v>Other</v>
      </c>
    </row>
    <row r="474" spans="1:15" x14ac:dyDescent="0.3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f t="array" ref="O474">_xlfn.IFS(orders[[#This Row],[Customer Gender]]="M","Male", orders[[#This Row],[Customer Gender]]="F","Female", orders[[#This Row],[Customer Gender]]="O","Other", TRUE,"Unknown")</f>
        <v>Male</v>
      </c>
    </row>
    <row r="475" spans="1:15" x14ac:dyDescent="0.3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f t="array" ref="O475">_xlfn.IFS(orders[[#This Row],[Customer Gender]]="M","Male", orders[[#This Row],[Customer Gender]]="F","Female", orders[[#This Row],[Customer Gender]]="O","Other", TRUE,"Unknown")</f>
        <v>Unknown</v>
      </c>
    </row>
    <row r="476" spans="1:15" x14ac:dyDescent="0.3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f t="array" ref="O476">_xlfn.IFS(orders[[#This Row],[Customer Gender]]="M","Male", orders[[#This Row],[Customer Gender]]="F","Female", orders[[#This Row],[Customer Gender]]="O","Other", TRUE,"Unknown")</f>
        <v>Female</v>
      </c>
    </row>
    <row r="477" spans="1:15" x14ac:dyDescent="0.3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f t="array" ref="O477">_xlfn.IFS(orders[[#This Row],[Customer Gender]]="M","Male", orders[[#This Row],[Customer Gender]]="F","Female", orders[[#This Row],[Customer Gender]]="O","Other", TRUE,"Unknown")</f>
        <v>Male</v>
      </c>
    </row>
    <row r="478" spans="1:15" x14ac:dyDescent="0.3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f t="array" ref="O478">_xlfn.IFS(orders[[#This Row],[Customer Gender]]="M","Male", orders[[#This Row],[Customer Gender]]="F","Female", orders[[#This Row],[Customer Gender]]="O","Other", TRUE,"Unknown")</f>
        <v>Female</v>
      </c>
    </row>
    <row r="479" spans="1:15" x14ac:dyDescent="0.3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f t="array" ref="O479">_xlfn.IFS(orders[[#This Row],[Customer Gender]]="M","Male", orders[[#This Row],[Customer Gender]]="F","Female", orders[[#This Row],[Customer Gender]]="O","Other", TRUE,"Unknown")</f>
        <v>Female</v>
      </c>
    </row>
    <row r="480" spans="1:15" x14ac:dyDescent="0.3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f t="array" ref="O480">_xlfn.IFS(orders[[#This Row],[Customer Gender]]="M","Male", orders[[#This Row],[Customer Gender]]="F","Female", orders[[#This Row],[Customer Gender]]="O","Other", TRUE,"Unknown")</f>
        <v>Female</v>
      </c>
    </row>
    <row r="481" spans="1:15" x14ac:dyDescent="0.3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f t="array" ref="O481">_xlfn.IFS(orders[[#This Row],[Customer Gender]]="M","Male", orders[[#This Row],[Customer Gender]]="F","Female", orders[[#This Row],[Customer Gender]]="O","Other", TRUE,"Unknown")</f>
        <v>Male</v>
      </c>
    </row>
    <row r="482" spans="1:15" x14ac:dyDescent="0.3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f t="array" ref="O482">_xlfn.IFS(orders[[#This Row],[Customer Gender]]="M","Male", orders[[#This Row],[Customer Gender]]="F","Female", orders[[#This Row],[Customer Gender]]="O","Other", TRUE,"Unknown")</f>
        <v>Male</v>
      </c>
    </row>
    <row r="483" spans="1:15" x14ac:dyDescent="0.3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f t="array" ref="O483">_xlfn.IFS(orders[[#This Row],[Customer Gender]]="M","Male", orders[[#This Row],[Customer Gender]]="F","Female", orders[[#This Row],[Customer Gender]]="O","Other", TRUE,"Unknown")</f>
        <v>Male</v>
      </c>
    </row>
    <row r="484" spans="1:15" x14ac:dyDescent="0.3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f t="array" ref="O484">_xlfn.IFS(orders[[#This Row],[Customer Gender]]="M","Male", orders[[#This Row],[Customer Gender]]="F","Female", orders[[#This Row],[Customer Gender]]="O","Other", TRUE,"Unknown")</f>
        <v>Female</v>
      </c>
    </row>
    <row r="485" spans="1:15" x14ac:dyDescent="0.3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f t="array" ref="O485">_xlfn.IFS(orders[[#This Row],[Customer Gender]]="M","Male", orders[[#This Row],[Customer Gender]]="F","Female", orders[[#This Row],[Customer Gender]]="O","Other", TRUE,"Unknown")</f>
        <v>Male</v>
      </c>
    </row>
    <row r="486" spans="1:15" x14ac:dyDescent="0.3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f t="array" ref="O486">_xlfn.IFS(orders[[#This Row],[Customer Gender]]="M","Male", orders[[#This Row],[Customer Gender]]="F","Female", orders[[#This Row],[Customer Gender]]="O","Other", TRUE,"Unknown")</f>
        <v>Female</v>
      </c>
    </row>
    <row r="487" spans="1:15" x14ac:dyDescent="0.3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f t="array" ref="O487">_xlfn.IFS(orders[[#This Row],[Customer Gender]]="M","Male", orders[[#This Row],[Customer Gender]]="F","Female", orders[[#This Row],[Customer Gender]]="O","Other", TRUE,"Unknown")</f>
        <v>Female</v>
      </c>
    </row>
    <row r="488" spans="1:15" x14ac:dyDescent="0.3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f t="array" ref="O488">_xlfn.IFS(orders[[#This Row],[Customer Gender]]="M","Male", orders[[#This Row],[Customer Gender]]="F","Female", orders[[#This Row],[Customer Gender]]="O","Other", TRUE,"Unknown")</f>
        <v>Male</v>
      </c>
    </row>
    <row r="489" spans="1:15" x14ac:dyDescent="0.3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f t="array" ref="O489">_xlfn.IFS(orders[[#This Row],[Customer Gender]]="M","Male", orders[[#This Row],[Customer Gender]]="F","Female", orders[[#This Row],[Customer Gender]]="O","Other", TRUE,"Unknown")</f>
        <v>Male</v>
      </c>
    </row>
    <row r="490" spans="1:15" x14ac:dyDescent="0.3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f t="array" ref="O490">_xlfn.IFS(orders[[#This Row],[Customer Gender]]="M","Male", orders[[#This Row],[Customer Gender]]="F","Female", orders[[#This Row],[Customer Gender]]="O","Other", TRUE,"Unknown")</f>
        <v>Unknown</v>
      </c>
    </row>
    <row r="491" spans="1:15" x14ac:dyDescent="0.3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f t="array" ref="O491">_xlfn.IFS(orders[[#This Row],[Customer Gender]]="M","Male", orders[[#This Row],[Customer Gender]]="F","Female", orders[[#This Row],[Customer Gender]]="O","Other", TRUE,"Unknown")</f>
        <v>Female</v>
      </c>
    </row>
    <row r="492" spans="1:15" x14ac:dyDescent="0.3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f t="array" ref="O492">_xlfn.IFS(orders[[#This Row],[Customer Gender]]="M","Male", orders[[#This Row],[Customer Gender]]="F","Female", orders[[#This Row],[Customer Gender]]="O","Other", TRUE,"Unknown")</f>
        <v>Female</v>
      </c>
    </row>
    <row r="493" spans="1:15" x14ac:dyDescent="0.3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f t="array" ref="O493">_xlfn.IFS(orders[[#This Row],[Customer Gender]]="M","Male", orders[[#This Row],[Customer Gender]]="F","Female", orders[[#This Row],[Customer Gender]]="O","Other", TRUE,"Unknown")</f>
        <v>Female</v>
      </c>
    </row>
    <row r="494" spans="1:15" x14ac:dyDescent="0.3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f t="array" ref="O494">_xlfn.IFS(orders[[#This Row],[Customer Gender]]="M","Male", orders[[#This Row],[Customer Gender]]="F","Female", orders[[#This Row],[Customer Gender]]="O","Other", TRUE,"Unknown")</f>
        <v>Female</v>
      </c>
    </row>
    <row r="495" spans="1:15" x14ac:dyDescent="0.3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f t="array" ref="O495">_xlfn.IFS(orders[[#This Row],[Customer Gender]]="M","Male", orders[[#This Row],[Customer Gender]]="F","Female", orders[[#This Row],[Customer Gender]]="O","Other", TRUE,"Unknown")</f>
        <v>Female</v>
      </c>
    </row>
    <row r="496" spans="1:15" x14ac:dyDescent="0.3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f t="array" ref="O496">_xlfn.IFS(orders[[#This Row],[Customer Gender]]="M","Male", orders[[#This Row],[Customer Gender]]="F","Female", orders[[#This Row],[Customer Gender]]="O","Other", TRUE,"Unknown")</f>
        <v>Female</v>
      </c>
    </row>
    <row r="497" spans="1:15" x14ac:dyDescent="0.3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f t="array" ref="O497">_xlfn.IFS(orders[[#This Row],[Customer Gender]]="M","Male", orders[[#This Row],[Customer Gender]]="F","Female", orders[[#This Row],[Customer Gender]]="O","Other", TRUE,"Unknown")</f>
        <v>Female</v>
      </c>
    </row>
    <row r="498" spans="1:15" x14ac:dyDescent="0.3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f t="array" ref="O498">_xlfn.IFS(orders[[#This Row],[Customer Gender]]="M","Male", orders[[#This Row],[Customer Gender]]="F","Female", orders[[#This Row],[Customer Gender]]="O","Other", TRUE,"Unknown")</f>
        <v>Male</v>
      </c>
    </row>
    <row r="499" spans="1:15" x14ac:dyDescent="0.3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f t="array" ref="O499">_xlfn.IFS(orders[[#This Row],[Customer Gender]]="M","Male", orders[[#This Row],[Customer Gender]]="F","Female", orders[[#This Row],[Customer Gender]]="O","Other", TRUE,"Unknown")</f>
        <v>Female</v>
      </c>
    </row>
    <row r="500" spans="1:15" x14ac:dyDescent="0.3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f t="array" ref="O500">_xlfn.IFS(orders[[#This Row],[Customer Gender]]="M","Male", orders[[#This Row],[Customer Gender]]="F","Female", orders[[#This Row],[Customer Gender]]="O","Other", TRUE,"Unknown")</f>
        <v>Male</v>
      </c>
    </row>
    <row r="501" spans="1:15" x14ac:dyDescent="0.3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f t="array" ref="O501">_xlfn.IFS(orders[[#This Row],[Customer Gender]]="M","Male", orders[[#This Row],[Customer Gender]]="F","Female", orders[[#This Row],[Customer Gender]]="O","Other", TRUE,"Unknown")</f>
        <v>Other</v>
      </c>
    </row>
    <row r="502" spans="1:15" x14ac:dyDescent="0.3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f t="array" ref="O502">_xlfn.IFS(orders[[#This Row],[Customer Gender]]="M","Male", orders[[#This Row],[Customer Gender]]="F","Female", orders[[#This Row],[Customer Gender]]="O","Other", TRUE,"Unknown")</f>
        <v>Unknown</v>
      </c>
    </row>
    <row r="503" spans="1:15" x14ac:dyDescent="0.3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f t="array" ref="O503">_xlfn.IFS(orders[[#This Row],[Customer Gender]]="M","Male", orders[[#This Row],[Customer Gender]]="F","Female", orders[[#This Row],[Customer Gender]]="O","Other", TRUE,"Unknown")</f>
        <v>Male</v>
      </c>
    </row>
    <row r="504" spans="1:15" x14ac:dyDescent="0.3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f t="array" ref="O504">_xlfn.IFS(orders[[#This Row],[Customer Gender]]="M","Male", orders[[#This Row],[Customer Gender]]="F","Female", orders[[#This Row],[Customer Gender]]="O","Other", TRUE,"Unknown")</f>
        <v>Female</v>
      </c>
    </row>
    <row r="505" spans="1:15" x14ac:dyDescent="0.3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f t="array" ref="O505">_xlfn.IFS(orders[[#This Row],[Customer Gender]]="M","Male", orders[[#This Row],[Customer Gender]]="F","Female", orders[[#This Row],[Customer Gender]]="O","Other", TRUE,"Unknown")</f>
        <v>Female</v>
      </c>
    </row>
    <row r="506" spans="1:15" x14ac:dyDescent="0.3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f t="array" ref="O506">_xlfn.IFS(orders[[#This Row],[Customer Gender]]="M","Male", orders[[#This Row],[Customer Gender]]="F","Female", orders[[#This Row],[Customer Gender]]="O","Other", TRUE,"Unknown")</f>
        <v>Female</v>
      </c>
    </row>
    <row r="507" spans="1:15" x14ac:dyDescent="0.3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f t="array" ref="O507">_xlfn.IFS(orders[[#This Row],[Customer Gender]]="M","Male", orders[[#This Row],[Customer Gender]]="F","Female", orders[[#This Row],[Customer Gender]]="O","Other", TRUE,"Unknown")</f>
        <v>Female</v>
      </c>
    </row>
    <row r="508" spans="1:15" x14ac:dyDescent="0.3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f t="array" ref="O508">_xlfn.IFS(orders[[#This Row],[Customer Gender]]="M","Male", orders[[#This Row],[Customer Gender]]="F","Female", orders[[#This Row],[Customer Gender]]="O","Other", TRUE,"Unknown")</f>
        <v>Female</v>
      </c>
    </row>
    <row r="509" spans="1:15" x14ac:dyDescent="0.3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f t="array" ref="O509">_xlfn.IFS(orders[[#This Row],[Customer Gender]]="M","Male", orders[[#This Row],[Customer Gender]]="F","Female", orders[[#This Row],[Customer Gender]]="O","Other", TRUE,"Unknown")</f>
        <v>Male</v>
      </c>
    </row>
    <row r="510" spans="1:15" x14ac:dyDescent="0.3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f t="array" ref="O510">_xlfn.IFS(orders[[#This Row],[Customer Gender]]="M","Male", orders[[#This Row],[Customer Gender]]="F","Female", orders[[#This Row],[Customer Gender]]="O","Other", TRUE,"Unknown")</f>
        <v>Male</v>
      </c>
    </row>
    <row r="511" spans="1:15" x14ac:dyDescent="0.3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f t="array" ref="O511">_xlfn.IFS(orders[[#This Row],[Customer Gender]]="M","Male", orders[[#This Row],[Customer Gender]]="F","Female", orders[[#This Row],[Customer Gender]]="O","Other", TRUE,"Unknown")</f>
        <v>Female</v>
      </c>
    </row>
    <row r="512" spans="1:15" x14ac:dyDescent="0.3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f t="array" ref="O512">_xlfn.IFS(orders[[#This Row],[Customer Gender]]="M","Male", orders[[#This Row],[Customer Gender]]="F","Female", orders[[#This Row],[Customer Gender]]="O","Other", TRUE,"Unknown")</f>
        <v>Female</v>
      </c>
    </row>
    <row r="513" spans="1:15" x14ac:dyDescent="0.3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f t="array" ref="O513">_xlfn.IFS(orders[[#This Row],[Customer Gender]]="M","Male", orders[[#This Row],[Customer Gender]]="F","Female", orders[[#This Row],[Customer Gender]]="O","Other", TRUE,"Unknown")</f>
        <v>Unknown</v>
      </c>
    </row>
    <row r="514" spans="1:15" x14ac:dyDescent="0.3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f t="array" ref="O514">_xlfn.IFS(orders[[#This Row],[Customer Gender]]="M","Male", orders[[#This Row],[Customer Gender]]="F","Female", orders[[#This Row],[Customer Gender]]="O","Other", TRUE,"Unknown")</f>
        <v>Female</v>
      </c>
    </row>
    <row r="515" spans="1:15" x14ac:dyDescent="0.3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f t="array" ref="O515">_xlfn.IFS(orders[[#This Row],[Customer Gender]]="M","Male", orders[[#This Row],[Customer Gender]]="F","Female", orders[[#This Row],[Customer Gender]]="O","Other", TRUE,"Unknown")</f>
        <v>Male</v>
      </c>
    </row>
    <row r="516" spans="1:15" x14ac:dyDescent="0.3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f t="array" ref="O516">_xlfn.IFS(orders[[#This Row],[Customer Gender]]="M","Male", orders[[#This Row],[Customer Gender]]="F","Female", orders[[#This Row],[Customer Gender]]="O","Other", TRUE,"Unknown")</f>
        <v>Male</v>
      </c>
    </row>
    <row r="517" spans="1:15" x14ac:dyDescent="0.3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f t="array" ref="O517">_xlfn.IFS(orders[[#This Row],[Customer Gender]]="M","Male", orders[[#This Row],[Customer Gender]]="F","Female", orders[[#This Row],[Customer Gender]]="O","Other", TRUE,"Unknown")</f>
        <v>Unknown</v>
      </c>
    </row>
    <row r="518" spans="1:15" x14ac:dyDescent="0.3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f t="array" ref="O518">_xlfn.IFS(orders[[#This Row],[Customer Gender]]="M","Male", orders[[#This Row],[Customer Gender]]="F","Female", orders[[#This Row],[Customer Gender]]="O","Other", TRUE,"Unknown")</f>
        <v>Female</v>
      </c>
    </row>
    <row r="519" spans="1:15" x14ac:dyDescent="0.3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f t="array" ref="O519">_xlfn.IFS(orders[[#This Row],[Customer Gender]]="M","Male", orders[[#This Row],[Customer Gender]]="F","Female", orders[[#This Row],[Customer Gender]]="O","Other", TRUE,"Unknown")</f>
        <v>Female</v>
      </c>
    </row>
    <row r="520" spans="1:15" x14ac:dyDescent="0.3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f t="array" ref="O520">_xlfn.IFS(orders[[#This Row],[Customer Gender]]="M","Male", orders[[#This Row],[Customer Gender]]="F","Female", orders[[#This Row],[Customer Gender]]="O","Other", TRUE,"Unknown")</f>
        <v>Female</v>
      </c>
    </row>
    <row r="521" spans="1:15" x14ac:dyDescent="0.3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f t="array" ref="O521">_xlfn.IFS(orders[[#This Row],[Customer Gender]]="M","Male", orders[[#This Row],[Customer Gender]]="F","Female", orders[[#This Row],[Customer Gender]]="O","Other", TRUE,"Unknown")</f>
        <v>Female</v>
      </c>
    </row>
    <row r="522" spans="1:15" x14ac:dyDescent="0.3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f t="array" ref="O522">_xlfn.IFS(orders[[#This Row],[Customer Gender]]="M","Male", orders[[#This Row],[Customer Gender]]="F","Female", orders[[#This Row],[Customer Gender]]="O","Other", TRUE,"Unknown")</f>
        <v>Male</v>
      </c>
    </row>
    <row r="523" spans="1:15" x14ac:dyDescent="0.3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f t="array" ref="O523">_xlfn.IFS(orders[[#This Row],[Customer Gender]]="M","Male", orders[[#This Row],[Customer Gender]]="F","Female", orders[[#This Row],[Customer Gender]]="O","Other", TRUE,"Unknown")</f>
        <v>Female</v>
      </c>
    </row>
    <row r="524" spans="1:15" x14ac:dyDescent="0.3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f t="array" ref="O524">_xlfn.IFS(orders[[#This Row],[Customer Gender]]="M","Male", orders[[#This Row],[Customer Gender]]="F","Female", orders[[#This Row],[Customer Gender]]="O","Other", TRUE,"Unknown")</f>
        <v>Unknown</v>
      </c>
    </row>
    <row r="525" spans="1:15" x14ac:dyDescent="0.3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f t="array" ref="O525">_xlfn.IFS(orders[[#This Row],[Customer Gender]]="M","Male", orders[[#This Row],[Customer Gender]]="F","Female", orders[[#This Row],[Customer Gender]]="O","Other", TRUE,"Unknown")</f>
        <v>Female</v>
      </c>
    </row>
    <row r="526" spans="1:15" x14ac:dyDescent="0.3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f t="array" ref="O526">_xlfn.IFS(orders[[#This Row],[Customer Gender]]="M","Male", orders[[#This Row],[Customer Gender]]="F","Female", orders[[#This Row],[Customer Gender]]="O","Other", TRUE,"Unknown")</f>
        <v>Female</v>
      </c>
    </row>
    <row r="527" spans="1:15" x14ac:dyDescent="0.3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f t="array" ref="O527">_xlfn.IFS(orders[[#This Row],[Customer Gender]]="M","Male", orders[[#This Row],[Customer Gender]]="F","Female", orders[[#This Row],[Customer Gender]]="O","Other", TRUE,"Unknown")</f>
        <v>Male</v>
      </c>
    </row>
    <row r="528" spans="1:15" x14ac:dyDescent="0.3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f t="array" ref="O528">_xlfn.IFS(orders[[#This Row],[Customer Gender]]="M","Male", orders[[#This Row],[Customer Gender]]="F","Female", orders[[#This Row],[Customer Gender]]="O","Other", TRUE,"Unknown")</f>
        <v>Male</v>
      </c>
    </row>
    <row r="529" spans="1:15" x14ac:dyDescent="0.3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f t="array" ref="O529">_xlfn.IFS(orders[[#This Row],[Customer Gender]]="M","Male", orders[[#This Row],[Customer Gender]]="F","Female", orders[[#This Row],[Customer Gender]]="O","Other", TRUE,"Unknown")</f>
        <v>Female</v>
      </c>
    </row>
    <row r="530" spans="1:15" x14ac:dyDescent="0.3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f t="array" ref="O530">_xlfn.IFS(orders[[#This Row],[Customer Gender]]="M","Male", orders[[#This Row],[Customer Gender]]="F","Female", orders[[#This Row],[Customer Gender]]="O","Other", TRUE,"Unknown")</f>
        <v>Female</v>
      </c>
    </row>
    <row r="531" spans="1:15" x14ac:dyDescent="0.3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f t="array" ref="O531">_xlfn.IFS(orders[[#This Row],[Customer Gender]]="M","Male", orders[[#This Row],[Customer Gender]]="F","Female", orders[[#This Row],[Customer Gender]]="O","Other", TRUE,"Unknown")</f>
        <v>Female</v>
      </c>
    </row>
    <row r="532" spans="1:15" x14ac:dyDescent="0.3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f t="array" ref="O532">_xlfn.IFS(orders[[#This Row],[Customer Gender]]="M","Male", orders[[#This Row],[Customer Gender]]="F","Female", orders[[#This Row],[Customer Gender]]="O","Other", TRUE,"Unknown")</f>
        <v>Female</v>
      </c>
    </row>
    <row r="533" spans="1:15" x14ac:dyDescent="0.3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f t="array" ref="O533">_xlfn.IFS(orders[[#This Row],[Customer Gender]]="M","Male", orders[[#This Row],[Customer Gender]]="F","Female", orders[[#This Row],[Customer Gender]]="O","Other", TRUE,"Unknown")</f>
        <v>Female</v>
      </c>
    </row>
    <row r="534" spans="1:15" x14ac:dyDescent="0.3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f t="array" ref="O534">_xlfn.IFS(orders[[#This Row],[Customer Gender]]="M","Male", orders[[#This Row],[Customer Gender]]="F","Female", orders[[#This Row],[Customer Gender]]="O","Other", TRUE,"Unknown")</f>
        <v>Female</v>
      </c>
    </row>
    <row r="535" spans="1:15" x14ac:dyDescent="0.3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f t="array" ref="O535">_xlfn.IFS(orders[[#This Row],[Customer Gender]]="M","Male", orders[[#This Row],[Customer Gender]]="F","Female", orders[[#This Row],[Customer Gender]]="O","Other", TRUE,"Unknown")</f>
        <v>Female</v>
      </c>
    </row>
    <row r="536" spans="1:15" x14ac:dyDescent="0.3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f t="array" ref="O536">_xlfn.IFS(orders[[#This Row],[Customer Gender]]="M","Male", orders[[#This Row],[Customer Gender]]="F","Female", orders[[#This Row],[Customer Gender]]="O","Other", TRUE,"Unknown")</f>
        <v>Female</v>
      </c>
    </row>
    <row r="537" spans="1:15" x14ac:dyDescent="0.3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f t="array" ref="O537">_xlfn.IFS(orders[[#This Row],[Customer Gender]]="M","Male", orders[[#This Row],[Customer Gender]]="F","Female", orders[[#This Row],[Customer Gender]]="O","Other", TRUE,"Unknown")</f>
        <v>Female</v>
      </c>
    </row>
    <row r="538" spans="1:15" x14ac:dyDescent="0.3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f t="array" ref="O538">_xlfn.IFS(orders[[#This Row],[Customer Gender]]="M","Male", orders[[#This Row],[Customer Gender]]="F","Female", orders[[#This Row],[Customer Gender]]="O","Other", TRUE,"Unknown")</f>
        <v>Male</v>
      </c>
    </row>
    <row r="539" spans="1:15" x14ac:dyDescent="0.3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f t="array" ref="O539">_xlfn.IFS(orders[[#This Row],[Customer Gender]]="M","Male", orders[[#This Row],[Customer Gender]]="F","Female", orders[[#This Row],[Customer Gender]]="O","Other", TRUE,"Unknown")</f>
        <v>Female</v>
      </c>
    </row>
    <row r="540" spans="1:15" x14ac:dyDescent="0.3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f t="array" ref="O540">_xlfn.IFS(orders[[#This Row],[Customer Gender]]="M","Male", orders[[#This Row],[Customer Gender]]="F","Female", orders[[#This Row],[Customer Gender]]="O","Other", TRUE,"Unknown")</f>
        <v>Male</v>
      </c>
    </row>
    <row r="541" spans="1:15" x14ac:dyDescent="0.3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f t="array" ref="O541">_xlfn.IFS(orders[[#This Row],[Customer Gender]]="M","Male", orders[[#This Row],[Customer Gender]]="F","Female", orders[[#This Row],[Customer Gender]]="O","Other", TRUE,"Unknown")</f>
        <v>Female</v>
      </c>
    </row>
    <row r="542" spans="1:15" x14ac:dyDescent="0.3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f t="array" ref="O542">_xlfn.IFS(orders[[#This Row],[Customer Gender]]="M","Male", orders[[#This Row],[Customer Gender]]="F","Female", orders[[#This Row],[Customer Gender]]="O","Other", TRUE,"Unknown")</f>
        <v>Male</v>
      </c>
    </row>
    <row r="543" spans="1:15" x14ac:dyDescent="0.3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f t="array" ref="O543">_xlfn.IFS(orders[[#This Row],[Customer Gender]]="M","Male", orders[[#This Row],[Customer Gender]]="F","Female", orders[[#This Row],[Customer Gender]]="O","Other", TRUE,"Unknown")</f>
        <v>Male</v>
      </c>
    </row>
    <row r="544" spans="1:15" x14ac:dyDescent="0.3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f t="array" ref="O544">_xlfn.IFS(orders[[#This Row],[Customer Gender]]="M","Male", orders[[#This Row],[Customer Gender]]="F","Female", orders[[#This Row],[Customer Gender]]="O","Other", TRUE,"Unknown")</f>
        <v>Female</v>
      </c>
    </row>
    <row r="545" spans="1:15" x14ac:dyDescent="0.3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f t="array" ref="O545">_xlfn.IFS(orders[[#This Row],[Customer Gender]]="M","Male", orders[[#This Row],[Customer Gender]]="F","Female", orders[[#This Row],[Customer Gender]]="O","Other", TRUE,"Unknown")</f>
        <v>Female</v>
      </c>
    </row>
    <row r="546" spans="1:15" x14ac:dyDescent="0.3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f t="array" ref="O546">_xlfn.IFS(orders[[#This Row],[Customer Gender]]="M","Male", orders[[#This Row],[Customer Gender]]="F","Female", orders[[#This Row],[Customer Gender]]="O","Other", TRUE,"Unknown")</f>
        <v>Female</v>
      </c>
    </row>
    <row r="547" spans="1:15" x14ac:dyDescent="0.3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f t="array" ref="O547">_xlfn.IFS(orders[[#This Row],[Customer Gender]]="M","Male", orders[[#This Row],[Customer Gender]]="F","Female", orders[[#This Row],[Customer Gender]]="O","Other", TRUE,"Unknown")</f>
        <v>Female</v>
      </c>
    </row>
    <row r="548" spans="1:15" x14ac:dyDescent="0.3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f t="array" ref="O548">_xlfn.IFS(orders[[#This Row],[Customer Gender]]="M","Male", orders[[#This Row],[Customer Gender]]="F","Female", orders[[#This Row],[Customer Gender]]="O","Other", TRUE,"Unknown")</f>
        <v>Unknown</v>
      </c>
    </row>
    <row r="549" spans="1:15" x14ac:dyDescent="0.3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f t="array" ref="O549">_xlfn.IFS(orders[[#This Row],[Customer Gender]]="M","Male", orders[[#This Row],[Customer Gender]]="F","Female", orders[[#This Row],[Customer Gender]]="O","Other", TRUE,"Unknown")</f>
        <v>Male</v>
      </c>
    </row>
    <row r="550" spans="1:15" x14ac:dyDescent="0.3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f t="array" ref="O550">_xlfn.IFS(orders[[#This Row],[Customer Gender]]="M","Male", orders[[#This Row],[Customer Gender]]="F","Female", orders[[#This Row],[Customer Gender]]="O","Other", TRUE,"Unknown")</f>
        <v>Female</v>
      </c>
    </row>
    <row r="551" spans="1:15" x14ac:dyDescent="0.3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f t="array" ref="O551">_xlfn.IFS(orders[[#This Row],[Customer Gender]]="M","Male", orders[[#This Row],[Customer Gender]]="F","Female", orders[[#This Row],[Customer Gender]]="O","Other", TRUE,"Unknown")</f>
        <v>Other</v>
      </c>
    </row>
    <row r="552" spans="1:15" x14ac:dyDescent="0.3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f t="array" ref="O552">_xlfn.IFS(orders[[#This Row],[Customer Gender]]="M","Male", orders[[#This Row],[Customer Gender]]="F","Female", orders[[#This Row],[Customer Gender]]="O","Other", TRUE,"Unknown")</f>
        <v>Male</v>
      </c>
    </row>
    <row r="553" spans="1:15" x14ac:dyDescent="0.3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f t="array" ref="O553">_xlfn.IFS(orders[[#This Row],[Customer Gender]]="M","Male", orders[[#This Row],[Customer Gender]]="F","Female", orders[[#This Row],[Customer Gender]]="O","Other", TRUE,"Unknown")</f>
        <v>Female</v>
      </c>
    </row>
    <row r="554" spans="1:15" x14ac:dyDescent="0.3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f t="array" ref="O554">_xlfn.IFS(orders[[#This Row],[Customer Gender]]="M","Male", orders[[#This Row],[Customer Gender]]="F","Female", orders[[#This Row],[Customer Gender]]="O","Other", TRUE,"Unknown")</f>
        <v>Female</v>
      </c>
    </row>
    <row r="555" spans="1:15" x14ac:dyDescent="0.3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f t="array" ref="O555">_xlfn.IFS(orders[[#This Row],[Customer Gender]]="M","Male", orders[[#This Row],[Customer Gender]]="F","Female", orders[[#This Row],[Customer Gender]]="O","Other", TRUE,"Unknown")</f>
        <v>Female</v>
      </c>
    </row>
    <row r="556" spans="1:15" x14ac:dyDescent="0.3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f t="array" ref="O556">_xlfn.IFS(orders[[#This Row],[Customer Gender]]="M","Male", orders[[#This Row],[Customer Gender]]="F","Female", orders[[#This Row],[Customer Gender]]="O","Other", TRUE,"Unknown")</f>
        <v>Female</v>
      </c>
    </row>
    <row r="557" spans="1:15" x14ac:dyDescent="0.3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f t="array" ref="O557">_xlfn.IFS(orders[[#This Row],[Customer Gender]]="M","Male", orders[[#This Row],[Customer Gender]]="F","Female", orders[[#This Row],[Customer Gender]]="O","Other", TRUE,"Unknown")</f>
        <v>Female</v>
      </c>
    </row>
    <row r="558" spans="1:15" x14ac:dyDescent="0.3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f t="array" ref="O558">_xlfn.IFS(orders[[#This Row],[Customer Gender]]="M","Male", orders[[#This Row],[Customer Gender]]="F","Female", orders[[#This Row],[Customer Gender]]="O","Other", TRUE,"Unknown")</f>
        <v>Female</v>
      </c>
    </row>
    <row r="559" spans="1:15" x14ac:dyDescent="0.3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f t="array" ref="O559">_xlfn.IFS(orders[[#This Row],[Customer Gender]]="M","Male", orders[[#This Row],[Customer Gender]]="F","Female", orders[[#This Row],[Customer Gender]]="O","Other", TRUE,"Unknown")</f>
        <v>Female</v>
      </c>
    </row>
    <row r="560" spans="1:15" x14ac:dyDescent="0.3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f t="array" ref="O560">_xlfn.IFS(orders[[#This Row],[Customer Gender]]="M","Male", orders[[#This Row],[Customer Gender]]="F","Female", orders[[#This Row],[Customer Gender]]="O","Other", TRUE,"Unknown")</f>
        <v>Male</v>
      </c>
    </row>
    <row r="561" spans="1:15" x14ac:dyDescent="0.3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f t="array" ref="O561">_xlfn.IFS(orders[[#This Row],[Customer Gender]]="M","Male", orders[[#This Row],[Customer Gender]]="F","Female", orders[[#This Row],[Customer Gender]]="O","Other", TRUE,"Unknown")</f>
        <v>Male</v>
      </c>
    </row>
    <row r="562" spans="1:15" x14ac:dyDescent="0.3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f t="array" ref="O562">_xlfn.IFS(orders[[#This Row],[Customer Gender]]="M","Male", orders[[#This Row],[Customer Gender]]="F","Female", orders[[#This Row],[Customer Gender]]="O","Other", TRUE,"Unknown")</f>
        <v>Female</v>
      </c>
    </row>
    <row r="563" spans="1:15" x14ac:dyDescent="0.3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f t="array" ref="O563">_xlfn.IFS(orders[[#This Row],[Customer Gender]]="M","Male", orders[[#This Row],[Customer Gender]]="F","Female", orders[[#This Row],[Customer Gender]]="O","Other", TRUE,"Unknown")</f>
        <v>Male</v>
      </c>
    </row>
    <row r="564" spans="1:15" x14ac:dyDescent="0.3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f t="array" ref="O564">_xlfn.IFS(orders[[#This Row],[Customer Gender]]="M","Male", orders[[#This Row],[Customer Gender]]="F","Female", orders[[#This Row],[Customer Gender]]="O","Other", TRUE,"Unknown")</f>
        <v>Male</v>
      </c>
    </row>
    <row r="565" spans="1:15" x14ac:dyDescent="0.3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f t="array" ref="O565">_xlfn.IFS(orders[[#This Row],[Customer Gender]]="M","Male", orders[[#This Row],[Customer Gender]]="F","Female", orders[[#This Row],[Customer Gender]]="O","Other", TRUE,"Unknown")</f>
        <v>Male</v>
      </c>
    </row>
    <row r="566" spans="1:15" x14ac:dyDescent="0.3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f t="array" ref="O566">_xlfn.IFS(orders[[#This Row],[Customer Gender]]="M","Male", orders[[#This Row],[Customer Gender]]="F","Female", orders[[#This Row],[Customer Gender]]="O","Other", TRUE,"Unknown")</f>
        <v>Female</v>
      </c>
    </row>
    <row r="567" spans="1:15" x14ac:dyDescent="0.3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f t="array" ref="O567">_xlfn.IFS(orders[[#This Row],[Customer Gender]]="M","Male", orders[[#This Row],[Customer Gender]]="F","Female", orders[[#This Row],[Customer Gender]]="O","Other", TRUE,"Unknown")</f>
        <v>Male</v>
      </c>
    </row>
    <row r="568" spans="1:15" x14ac:dyDescent="0.3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f t="array" ref="O568">_xlfn.IFS(orders[[#This Row],[Customer Gender]]="M","Male", orders[[#This Row],[Customer Gender]]="F","Female", orders[[#This Row],[Customer Gender]]="O","Other", TRUE,"Unknown")</f>
        <v>Female</v>
      </c>
    </row>
    <row r="569" spans="1:15" x14ac:dyDescent="0.3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f t="array" ref="O569">_xlfn.IFS(orders[[#This Row],[Customer Gender]]="M","Male", orders[[#This Row],[Customer Gender]]="F","Female", orders[[#This Row],[Customer Gender]]="O","Other", TRUE,"Unknown")</f>
        <v>Female</v>
      </c>
    </row>
    <row r="570" spans="1:15" x14ac:dyDescent="0.3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f t="array" ref="O570">_xlfn.IFS(orders[[#This Row],[Customer Gender]]="M","Male", orders[[#This Row],[Customer Gender]]="F","Female", orders[[#This Row],[Customer Gender]]="O","Other", TRUE,"Unknown")</f>
        <v>Female</v>
      </c>
    </row>
    <row r="571" spans="1:15" x14ac:dyDescent="0.3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f t="array" ref="O571">_xlfn.IFS(orders[[#This Row],[Customer Gender]]="M","Male", orders[[#This Row],[Customer Gender]]="F","Female", orders[[#This Row],[Customer Gender]]="O","Other", TRUE,"Unknown")</f>
        <v>Male</v>
      </c>
    </row>
    <row r="572" spans="1:15" x14ac:dyDescent="0.3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f t="array" ref="O572">_xlfn.IFS(orders[[#This Row],[Customer Gender]]="M","Male", orders[[#This Row],[Customer Gender]]="F","Female", orders[[#This Row],[Customer Gender]]="O","Other", TRUE,"Unknown")</f>
        <v>Male</v>
      </c>
    </row>
    <row r="573" spans="1:15" x14ac:dyDescent="0.3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f t="array" ref="O573">_xlfn.IFS(orders[[#This Row],[Customer Gender]]="M","Male", orders[[#This Row],[Customer Gender]]="F","Female", orders[[#This Row],[Customer Gender]]="O","Other", TRUE,"Unknown")</f>
        <v>Female</v>
      </c>
    </row>
    <row r="574" spans="1:15" x14ac:dyDescent="0.3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f t="array" ref="O574">_xlfn.IFS(orders[[#This Row],[Customer Gender]]="M","Male", orders[[#This Row],[Customer Gender]]="F","Female", orders[[#This Row],[Customer Gender]]="O","Other", TRUE,"Unknown")</f>
        <v>Male</v>
      </c>
    </row>
    <row r="575" spans="1:15" x14ac:dyDescent="0.3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f t="array" ref="O575">_xlfn.IFS(orders[[#This Row],[Customer Gender]]="M","Male", orders[[#This Row],[Customer Gender]]="F","Female", orders[[#This Row],[Customer Gender]]="O","Other", TRUE,"Unknown")</f>
        <v>Female</v>
      </c>
    </row>
    <row r="576" spans="1:15" x14ac:dyDescent="0.3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f t="array" ref="O576">_xlfn.IFS(orders[[#This Row],[Customer Gender]]="M","Male", orders[[#This Row],[Customer Gender]]="F","Female", orders[[#This Row],[Customer Gender]]="O","Other", TRUE,"Unknown")</f>
        <v>Female</v>
      </c>
    </row>
    <row r="577" spans="1:15" x14ac:dyDescent="0.3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f t="array" ref="O577">_xlfn.IFS(orders[[#This Row],[Customer Gender]]="M","Male", orders[[#This Row],[Customer Gender]]="F","Female", orders[[#This Row],[Customer Gender]]="O","Other", TRUE,"Unknown")</f>
        <v>Male</v>
      </c>
    </row>
    <row r="578" spans="1:15" x14ac:dyDescent="0.3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f t="array" ref="O578">_xlfn.IFS(orders[[#This Row],[Customer Gender]]="M","Male", orders[[#This Row],[Customer Gender]]="F","Female", orders[[#This Row],[Customer Gender]]="O","Other", TRUE,"Unknown")</f>
        <v>Male</v>
      </c>
    </row>
    <row r="579" spans="1:15" x14ac:dyDescent="0.3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f t="array" ref="O579">_xlfn.IFS(orders[[#This Row],[Customer Gender]]="M","Male", orders[[#This Row],[Customer Gender]]="F","Female", orders[[#This Row],[Customer Gender]]="O","Other", TRUE,"Unknown")</f>
        <v>Female</v>
      </c>
    </row>
    <row r="580" spans="1:15" x14ac:dyDescent="0.3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f t="array" ref="O580">_xlfn.IFS(orders[[#This Row],[Customer Gender]]="M","Male", orders[[#This Row],[Customer Gender]]="F","Female", orders[[#This Row],[Customer Gender]]="O","Other", TRUE,"Unknown")</f>
        <v>Female</v>
      </c>
    </row>
    <row r="581" spans="1:15" x14ac:dyDescent="0.3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f t="array" ref="O581">_xlfn.IFS(orders[[#This Row],[Customer Gender]]="M","Male", orders[[#This Row],[Customer Gender]]="F","Female", orders[[#This Row],[Customer Gender]]="O","Other", TRUE,"Unknown")</f>
        <v>Female</v>
      </c>
    </row>
    <row r="582" spans="1:15" x14ac:dyDescent="0.3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f t="array" ref="O582">_xlfn.IFS(orders[[#This Row],[Customer Gender]]="M","Male", orders[[#This Row],[Customer Gender]]="F","Female", orders[[#This Row],[Customer Gender]]="O","Other", TRUE,"Unknown")</f>
        <v>Female</v>
      </c>
    </row>
    <row r="583" spans="1:15" x14ac:dyDescent="0.3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f t="array" ref="O583">_xlfn.IFS(orders[[#This Row],[Customer Gender]]="M","Male", orders[[#This Row],[Customer Gender]]="F","Female", orders[[#This Row],[Customer Gender]]="O","Other", TRUE,"Unknown")</f>
        <v>Female</v>
      </c>
    </row>
    <row r="584" spans="1:15" x14ac:dyDescent="0.3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f t="array" ref="O584">_xlfn.IFS(orders[[#This Row],[Customer Gender]]="M","Male", orders[[#This Row],[Customer Gender]]="F","Female", orders[[#This Row],[Customer Gender]]="O","Other", TRUE,"Unknown")</f>
        <v>Female</v>
      </c>
    </row>
    <row r="585" spans="1:15" x14ac:dyDescent="0.3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f t="array" ref="O585">_xlfn.IFS(orders[[#This Row],[Customer Gender]]="M","Male", orders[[#This Row],[Customer Gender]]="F","Female", orders[[#This Row],[Customer Gender]]="O","Other", TRUE,"Unknown")</f>
        <v>Male</v>
      </c>
    </row>
    <row r="586" spans="1:15" x14ac:dyDescent="0.3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f t="array" ref="O586">_xlfn.IFS(orders[[#This Row],[Customer Gender]]="M","Male", orders[[#This Row],[Customer Gender]]="F","Female", orders[[#This Row],[Customer Gender]]="O","Other", TRUE,"Unknown")</f>
        <v>Female</v>
      </c>
    </row>
    <row r="587" spans="1:15" x14ac:dyDescent="0.3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f t="array" ref="O587">_xlfn.IFS(orders[[#This Row],[Customer Gender]]="M","Male", orders[[#This Row],[Customer Gender]]="F","Female", orders[[#This Row],[Customer Gender]]="O","Other", TRUE,"Unknown")</f>
        <v>Female</v>
      </c>
    </row>
    <row r="588" spans="1:15" x14ac:dyDescent="0.3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f t="array" ref="O588">_xlfn.IFS(orders[[#This Row],[Customer Gender]]="M","Male", orders[[#This Row],[Customer Gender]]="F","Female", orders[[#This Row],[Customer Gender]]="O","Other", TRUE,"Unknown")</f>
        <v>Female</v>
      </c>
    </row>
    <row r="589" spans="1:15" x14ac:dyDescent="0.3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f t="array" ref="O589">_xlfn.IFS(orders[[#This Row],[Customer Gender]]="M","Male", orders[[#This Row],[Customer Gender]]="F","Female", orders[[#This Row],[Customer Gender]]="O","Other", TRUE,"Unknown")</f>
        <v>Male</v>
      </c>
    </row>
    <row r="590" spans="1:15" x14ac:dyDescent="0.3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f t="array" ref="O590">_xlfn.IFS(orders[[#This Row],[Customer Gender]]="M","Male", orders[[#This Row],[Customer Gender]]="F","Female", orders[[#This Row],[Customer Gender]]="O","Other", TRUE,"Unknown")</f>
        <v>Female</v>
      </c>
    </row>
    <row r="591" spans="1:15" x14ac:dyDescent="0.3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f t="array" ref="O591">_xlfn.IFS(orders[[#This Row],[Customer Gender]]="M","Male", orders[[#This Row],[Customer Gender]]="F","Female", orders[[#This Row],[Customer Gender]]="O","Other", TRUE,"Unknown")</f>
        <v>Female</v>
      </c>
    </row>
    <row r="592" spans="1:15" x14ac:dyDescent="0.3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f t="array" ref="O592">_xlfn.IFS(orders[[#This Row],[Customer Gender]]="M","Male", orders[[#This Row],[Customer Gender]]="F","Female", orders[[#This Row],[Customer Gender]]="O","Other", TRUE,"Unknown")</f>
        <v>Male</v>
      </c>
    </row>
    <row r="593" spans="1:15" x14ac:dyDescent="0.3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f t="array" ref="O593">_xlfn.IFS(orders[[#This Row],[Customer Gender]]="M","Male", orders[[#This Row],[Customer Gender]]="F","Female", orders[[#This Row],[Customer Gender]]="O","Other", TRUE,"Unknown")</f>
        <v>Female</v>
      </c>
    </row>
    <row r="594" spans="1:15" x14ac:dyDescent="0.3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f t="array" ref="O594">_xlfn.IFS(orders[[#This Row],[Customer Gender]]="M","Male", orders[[#This Row],[Customer Gender]]="F","Female", orders[[#This Row],[Customer Gender]]="O","Other", TRUE,"Unknown")</f>
        <v>Female</v>
      </c>
    </row>
    <row r="595" spans="1:15" x14ac:dyDescent="0.3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f t="array" ref="O595">_xlfn.IFS(orders[[#This Row],[Customer Gender]]="M","Male", orders[[#This Row],[Customer Gender]]="F","Female", orders[[#This Row],[Customer Gender]]="O","Other", TRUE,"Unknown")</f>
        <v>Female</v>
      </c>
    </row>
    <row r="596" spans="1:15" x14ac:dyDescent="0.3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f t="array" ref="O596">_xlfn.IFS(orders[[#This Row],[Customer Gender]]="M","Male", orders[[#This Row],[Customer Gender]]="F","Female", orders[[#This Row],[Customer Gender]]="O","Other", TRUE,"Unknown")</f>
        <v>Male</v>
      </c>
    </row>
    <row r="597" spans="1:15" x14ac:dyDescent="0.3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f t="array" ref="O597">_xlfn.IFS(orders[[#This Row],[Customer Gender]]="M","Male", orders[[#This Row],[Customer Gender]]="F","Female", orders[[#This Row],[Customer Gender]]="O","Other", TRUE,"Unknown")</f>
        <v>Male</v>
      </c>
    </row>
    <row r="598" spans="1:15" x14ac:dyDescent="0.3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f t="array" ref="O598">_xlfn.IFS(orders[[#This Row],[Customer Gender]]="M","Male", orders[[#This Row],[Customer Gender]]="F","Female", orders[[#This Row],[Customer Gender]]="O","Other", TRUE,"Unknown")</f>
        <v>Female</v>
      </c>
    </row>
    <row r="599" spans="1:15" x14ac:dyDescent="0.3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f t="array" ref="O599">_xlfn.IFS(orders[[#This Row],[Customer Gender]]="M","Male", orders[[#This Row],[Customer Gender]]="F","Female", orders[[#This Row],[Customer Gender]]="O","Other", TRUE,"Unknown")</f>
        <v>Female</v>
      </c>
    </row>
    <row r="600" spans="1:15" x14ac:dyDescent="0.3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f t="array" ref="O600">_xlfn.IFS(orders[[#This Row],[Customer Gender]]="M","Male", orders[[#This Row],[Customer Gender]]="F","Female", orders[[#This Row],[Customer Gender]]="O","Other", TRUE,"Unknown")</f>
        <v>Male</v>
      </c>
    </row>
    <row r="601" spans="1:15" x14ac:dyDescent="0.3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f t="array" ref="O601">_xlfn.IFS(orders[[#This Row],[Customer Gender]]="M","Male", orders[[#This Row],[Customer Gender]]="F","Female", orders[[#This Row],[Customer Gender]]="O","Other", TRUE,"Unknown")</f>
        <v>Female</v>
      </c>
    </row>
    <row r="602" spans="1:15" x14ac:dyDescent="0.3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f t="array" ref="O602">_xlfn.IFS(orders[[#This Row],[Customer Gender]]="M","Male", orders[[#This Row],[Customer Gender]]="F","Female", orders[[#This Row],[Customer Gender]]="O","Other", TRUE,"Unknown")</f>
        <v>Male</v>
      </c>
    </row>
    <row r="603" spans="1:15" x14ac:dyDescent="0.3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f t="array" ref="O603">_xlfn.IFS(orders[[#This Row],[Customer Gender]]="M","Male", orders[[#This Row],[Customer Gender]]="F","Female", orders[[#This Row],[Customer Gender]]="O","Other", TRUE,"Unknown")</f>
        <v>Female</v>
      </c>
    </row>
    <row r="604" spans="1:15" x14ac:dyDescent="0.3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f t="array" ref="O604">_xlfn.IFS(orders[[#This Row],[Customer Gender]]="M","Male", orders[[#This Row],[Customer Gender]]="F","Female", orders[[#This Row],[Customer Gender]]="O","Other", TRUE,"Unknown")</f>
        <v>Female</v>
      </c>
    </row>
    <row r="605" spans="1:15" x14ac:dyDescent="0.3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f t="array" ref="O605">_xlfn.IFS(orders[[#This Row],[Customer Gender]]="M","Male", orders[[#This Row],[Customer Gender]]="F","Female", orders[[#This Row],[Customer Gender]]="O","Other", TRUE,"Unknown")</f>
        <v>Male</v>
      </c>
    </row>
    <row r="606" spans="1:15" x14ac:dyDescent="0.3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f t="array" ref="O606">_xlfn.IFS(orders[[#This Row],[Customer Gender]]="M","Male", orders[[#This Row],[Customer Gender]]="F","Female", orders[[#This Row],[Customer Gender]]="O","Other", TRUE,"Unknown")</f>
        <v>Male</v>
      </c>
    </row>
    <row r="607" spans="1:15" x14ac:dyDescent="0.3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f t="array" ref="O607">_xlfn.IFS(orders[[#This Row],[Customer Gender]]="M","Male", orders[[#This Row],[Customer Gender]]="F","Female", orders[[#This Row],[Customer Gender]]="O","Other", TRUE,"Unknown")</f>
        <v>Female</v>
      </c>
    </row>
    <row r="608" spans="1:15" x14ac:dyDescent="0.3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f t="array" ref="O608">_xlfn.IFS(orders[[#This Row],[Customer Gender]]="M","Male", orders[[#This Row],[Customer Gender]]="F","Female", orders[[#This Row],[Customer Gender]]="O","Other", TRUE,"Unknown")</f>
        <v>Female</v>
      </c>
    </row>
    <row r="609" spans="1:15" x14ac:dyDescent="0.3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f t="array" ref="O609">_xlfn.IFS(orders[[#This Row],[Customer Gender]]="M","Male", orders[[#This Row],[Customer Gender]]="F","Female", orders[[#This Row],[Customer Gender]]="O","Other", TRUE,"Unknown")</f>
        <v>Male</v>
      </c>
    </row>
    <row r="610" spans="1:15" x14ac:dyDescent="0.3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f t="array" ref="O610">_xlfn.IFS(orders[[#This Row],[Customer Gender]]="M","Male", orders[[#This Row],[Customer Gender]]="F","Female", orders[[#This Row],[Customer Gender]]="O","Other", TRUE,"Unknown")</f>
        <v>Female</v>
      </c>
    </row>
    <row r="611" spans="1:15" x14ac:dyDescent="0.3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f t="array" ref="O611">_xlfn.IFS(orders[[#This Row],[Customer Gender]]="M","Male", orders[[#This Row],[Customer Gender]]="F","Female", orders[[#This Row],[Customer Gender]]="O","Other", TRUE,"Unknown")</f>
        <v>Female</v>
      </c>
    </row>
    <row r="612" spans="1:15" x14ac:dyDescent="0.3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f t="array" ref="O612">_xlfn.IFS(orders[[#This Row],[Customer Gender]]="M","Male", orders[[#This Row],[Customer Gender]]="F","Female", orders[[#This Row],[Customer Gender]]="O","Other", TRUE,"Unknown")</f>
        <v>Female</v>
      </c>
    </row>
    <row r="613" spans="1:15" x14ac:dyDescent="0.3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f t="array" ref="O613">_xlfn.IFS(orders[[#This Row],[Customer Gender]]="M","Male", orders[[#This Row],[Customer Gender]]="F","Female", orders[[#This Row],[Customer Gender]]="O","Other", TRUE,"Unknown")</f>
        <v>Female</v>
      </c>
    </row>
    <row r="614" spans="1:15" x14ac:dyDescent="0.3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f t="array" ref="O614">_xlfn.IFS(orders[[#This Row],[Customer Gender]]="M","Male", orders[[#This Row],[Customer Gender]]="F","Female", orders[[#This Row],[Customer Gender]]="O","Other", TRUE,"Unknown")</f>
        <v>Female</v>
      </c>
    </row>
    <row r="615" spans="1:15" x14ac:dyDescent="0.3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f t="array" ref="O615">_xlfn.IFS(orders[[#This Row],[Customer Gender]]="M","Male", orders[[#This Row],[Customer Gender]]="F","Female", orders[[#This Row],[Customer Gender]]="O","Other", TRUE,"Unknown")</f>
        <v>Female</v>
      </c>
    </row>
    <row r="616" spans="1:15" x14ac:dyDescent="0.3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f t="array" ref="O616">_xlfn.IFS(orders[[#This Row],[Customer Gender]]="M","Male", orders[[#This Row],[Customer Gender]]="F","Female", orders[[#This Row],[Customer Gender]]="O","Other", TRUE,"Unknown")</f>
        <v>Male</v>
      </c>
    </row>
    <row r="617" spans="1:15" x14ac:dyDescent="0.3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f t="array" ref="O617">_xlfn.IFS(orders[[#This Row],[Customer Gender]]="M","Male", orders[[#This Row],[Customer Gender]]="F","Female", orders[[#This Row],[Customer Gender]]="O","Other", TRUE,"Unknown")</f>
        <v>Male</v>
      </c>
    </row>
    <row r="618" spans="1:15" x14ac:dyDescent="0.3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f t="array" ref="O618">_xlfn.IFS(orders[[#This Row],[Customer Gender]]="M","Male", orders[[#This Row],[Customer Gender]]="F","Female", orders[[#This Row],[Customer Gender]]="O","Other", TRUE,"Unknown")</f>
        <v>Male</v>
      </c>
    </row>
    <row r="619" spans="1:15" x14ac:dyDescent="0.3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f t="array" ref="O619">_xlfn.IFS(orders[[#This Row],[Customer Gender]]="M","Male", orders[[#This Row],[Customer Gender]]="F","Female", orders[[#This Row],[Customer Gender]]="O","Other", TRUE,"Unknown")</f>
        <v>Female</v>
      </c>
    </row>
    <row r="620" spans="1:15" x14ac:dyDescent="0.3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f t="array" ref="O620">_xlfn.IFS(orders[[#This Row],[Customer Gender]]="M","Male", orders[[#This Row],[Customer Gender]]="F","Female", orders[[#This Row],[Customer Gender]]="O","Other", TRUE,"Unknown")</f>
        <v>Male</v>
      </c>
    </row>
    <row r="621" spans="1:15" x14ac:dyDescent="0.3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f t="array" ref="O621">_xlfn.IFS(orders[[#This Row],[Customer Gender]]="M","Male", orders[[#This Row],[Customer Gender]]="F","Female", orders[[#This Row],[Customer Gender]]="O","Other", TRUE,"Unknown")</f>
        <v>Male</v>
      </c>
    </row>
    <row r="622" spans="1:15" x14ac:dyDescent="0.3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f t="array" ref="O622">_xlfn.IFS(orders[[#This Row],[Customer Gender]]="M","Male", orders[[#This Row],[Customer Gender]]="F","Female", orders[[#This Row],[Customer Gender]]="O","Other", TRUE,"Unknown")</f>
        <v>Female</v>
      </c>
    </row>
    <row r="623" spans="1:15" x14ac:dyDescent="0.3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f t="array" ref="O623">_xlfn.IFS(orders[[#This Row],[Customer Gender]]="M","Male", orders[[#This Row],[Customer Gender]]="F","Female", orders[[#This Row],[Customer Gender]]="O","Other", TRUE,"Unknown")</f>
        <v>Male</v>
      </c>
    </row>
    <row r="624" spans="1:15" x14ac:dyDescent="0.3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f t="array" ref="O624">_xlfn.IFS(orders[[#This Row],[Customer Gender]]="M","Male", orders[[#This Row],[Customer Gender]]="F","Female", orders[[#This Row],[Customer Gender]]="O","Other", TRUE,"Unknown")</f>
        <v>Female</v>
      </c>
    </row>
    <row r="625" spans="1:15" x14ac:dyDescent="0.3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f t="array" ref="O625">_xlfn.IFS(orders[[#This Row],[Customer Gender]]="M","Male", orders[[#This Row],[Customer Gender]]="F","Female", orders[[#This Row],[Customer Gender]]="O","Other", TRUE,"Unknown")</f>
        <v>Unknown</v>
      </c>
    </row>
    <row r="626" spans="1:15" x14ac:dyDescent="0.3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f t="array" ref="O626">_xlfn.IFS(orders[[#This Row],[Customer Gender]]="M","Male", orders[[#This Row],[Customer Gender]]="F","Female", orders[[#This Row],[Customer Gender]]="O","Other", TRUE,"Unknown")</f>
        <v>Female</v>
      </c>
    </row>
    <row r="627" spans="1:15" x14ac:dyDescent="0.3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f t="array" ref="O627">_xlfn.IFS(orders[[#This Row],[Customer Gender]]="M","Male", orders[[#This Row],[Customer Gender]]="F","Female", orders[[#This Row],[Customer Gender]]="O","Other", TRUE,"Unknown")</f>
        <v>Female</v>
      </c>
    </row>
    <row r="628" spans="1:15" x14ac:dyDescent="0.3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f t="array" ref="O628">_xlfn.IFS(orders[[#This Row],[Customer Gender]]="M","Male", orders[[#This Row],[Customer Gender]]="F","Female", orders[[#This Row],[Customer Gender]]="O","Other", TRUE,"Unknown")</f>
        <v>Female</v>
      </c>
    </row>
    <row r="629" spans="1:15" x14ac:dyDescent="0.3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f t="array" ref="O629">_xlfn.IFS(orders[[#This Row],[Customer Gender]]="M","Male", orders[[#This Row],[Customer Gender]]="F","Female", orders[[#This Row],[Customer Gender]]="O","Other", TRUE,"Unknown")</f>
        <v>Female</v>
      </c>
    </row>
    <row r="630" spans="1:15" x14ac:dyDescent="0.3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f t="array" ref="O630">_xlfn.IFS(orders[[#This Row],[Customer Gender]]="M","Male", orders[[#This Row],[Customer Gender]]="F","Female", orders[[#This Row],[Customer Gender]]="O","Other", TRUE,"Unknown")</f>
        <v>Female</v>
      </c>
    </row>
    <row r="631" spans="1:15" x14ac:dyDescent="0.3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f t="array" ref="O631">_xlfn.IFS(orders[[#This Row],[Customer Gender]]="M","Male", orders[[#This Row],[Customer Gender]]="F","Female", orders[[#This Row],[Customer Gender]]="O","Other", TRUE,"Unknown")</f>
        <v>Male</v>
      </c>
    </row>
    <row r="632" spans="1:15" x14ac:dyDescent="0.3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f t="array" ref="O632">_xlfn.IFS(orders[[#This Row],[Customer Gender]]="M","Male", orders[[#This Row],[Customer Gender]]="F","Female", orders[[#This Row],[Customer Gender]]="O","Other", TRUE,"Unknown")</f>
        <v>Female</v>
      </c>
    </row>
    <row r="633" spans="1:15" x14ac:dyDescent="0.3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f t="array" ref="O633">_xlfn.IFS(orders[[#This Row],[Customer Gender]]="M","Male", orders[[#This Row],[Customer Gender]]="F","Female", orders[[#This Row],[Customer Gender]]="O","Other", TRUE,"Unknown")</f>
        <v>Male</v>
      </c>
    </row>
    <row r="634" spans="1:15" x14ac:dyDescent="0.3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f t="array" ref="O634">_xlfn.IFS(orders[[#This Row],[Customer Gender]]="M","Male", orders[[#This Row],[Customer Gender]]="F","Female", orders[[#This Row],[Customer Gender]]="O","Other", TRUE,"Unknown")</f>
        <v>Male</v>
      </c>
    </row>
    <row r="635" spans="1:15" x14ac:dyDescent="0.3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f t="array" ref="O635">_xlfn.IFS(orders[[#This Row],[Customer Gender]]="M","Male", orders[[#This Row],[Customer Gender]]="F","Female", orders[[#This Row],[Customer Gender]]="O","Other", TRUE,"Unknown")</f>
        <v>Female</v>
      </c>
    </row>
    <row r="636" spans="1:15" x14ac:dyDescent="0.3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f t="array" ref="O636">_xlfn.IFS(orders[[#This Row],[Customer Gender]]="M","Male", orders[[#This Row],[Customer Gender]]="F","Female", orders[[#This Row],[Customer Gender]]="O","Other", TRUE,"Unknown")</f>
        <v>Female</v>
      </c>
    </row>
    <row r="637" spans="1:15" x14ac:dyDescent="0.3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f t="array" ref="O637">_xlfn.IFS(orders[[#This Row],[Customer Gender]]="M","Male", orders[[#This Row],[Customer Gender]]="F","Female", orders[[#This Row],[Customer Gender]]="O","Other", TRUE,"Unknown")</f>
        <v>Male</v>
      </c>
    </row>
    <row r="638" spans="1:15" x14ac:dyDescent="0.3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f t="array" ref="O638">_xlfn.IFS(orders[[#This Row],[Customer Gender]]="M","Male", orders[[#This Row],[Customer Gender]]="F","Female", orders[[#This Row],[Customer Gender]]="O","Other", TRUE,"Unknown")</f>
        <v>Male</v>
      </c>
    </row>
    <row r="639" spans="1:15" x14ac:dyDescent="0.3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f t="array" ref="O639">_xlfn.IFS(orders[[#This Row],[Customer Gender]]="M","Male", orders[[#This Row],[Customer Gender]]="F","Female", orders[[#This Row],[Customer Gender]]="O","Other", TRUE,"Unknown")</f>
        <v>Female</v>
      </c>
    </row>
    <row r="640" spans="1:15" x14ac:dyDescent="0.3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f t="array" ref="O640">_xlfn.IFS(orders[[#This Row],[Customer Gender]]="M","Male", orders[[#This Row],[Customer Gender]]="F","Female", orders[[#This Row],[Customer Gender]]="O","Other", TRUE,"Unknown")</f>
        <v>Female</v>
      </c>
    </row>
    <row r="641" spans="1:15" x14ac:dyDescent="0.3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f t="array" ref="O641">_xlfn.IFS(orders[[#This Row],[Customer Gender]]="M","Male", orders[[#This Row],[Customer Gender]]="F","Female", orders[[#This Row],[Customer Gender]]="O","Other", TRUE,"Unknown")</f>
        <v>Female</v>
      </c>
    </row>
    <row r="642" spans="1:15" x14ac:dyDescent="0.3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f t="array" ref="O642">_xlfn.IFS(orders[[#This Row],[Customer Gender]]="M","Male", orders[[#This Row],[Customer Gender]]="F","Female", orders[[#This Row],[Customer Gender]]="O","Other", TRUE,"Unknown")</f>
        <v>Male</v>
      </c>
    </row>
    <row r="643" spans="1:15" x14ac:dyDescent="0.3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f t="array" ref="O643">_xlfn.IFS(orders[[#This Row],[Customer Gender]]="M","Male", orders[[#This Row],[Customer Gender]]="F","Female", orders[[#This Row],[Customer Gender]]="O","Other", TRUE,"Unknown")</f>
        <v>Female</v>
      </c>
    </row>
    <row r="644" spans="1:15" x14ac:dyDescent="0.3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f t="array" ref="O644">_xlfn.IFS(orders[[#This Row],[Customer Gender]]="M","Male", orders[[#This Row],[Customer Gender]]="F","Female", orders[[#This Row],[Customer Gender]]="O","Other", TRUE,"Unknown")</f>
        <v>Male</v>
      </c>
    </row>
    <row r="645" spans="1:15" x14ac:dyDescent="0.3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f t="array" ref="O645">_xlfn.IFS(orders[[#This Row],[Customer Gender]]="M","Male", orders[[#This Row],[Customer Gender]]="F","Female", orders[[#This Row],[Customer Gender]]="O","Other", TRUE,"Unknown")</f>
        <v>Female</v>
      </c>
    </row>
    <row r="646" spans="1:15" x14ac:dyDescent="0.3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f t="array" ref="O646">_xlfn.IFS(orders[[#This Row],[Customer Gender]]="M","Male", orders[[#This Row],[Customer Gender]]="F","Female", orders[[#This Row],[Customer Gender]]="O","Other", TRUE,"Unknown")</f>
        <v>Female</v>
      </c>
    </row>
    <row r="647" spans="1:15" x14ac:dyDescent="0.3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f t="array" ref="O647">_xlfn.IFS(orders[[#This Row],[Customer Gender]]="M","Male", orders[[#This Row],[Customer Gender]]="F","Female", orders[[#This Row],[Customer Gender]]="O","Other", TRUE,"Unknown")</f>
        <v>Female</v>
      </c>
    </row>
    <row r="648" spans="1:15" x14ac:dyDescent="0.3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f t="array" ref="O648">_xlfn.IFS(orders[[#This Row],[Customer Gender]]="M","Male", orders[[#This Row],[Customer Gender]]="F","Female", orders[[#This Row],[Customer Gender]]="O","Other", TRUE,"Unknown")</f>
        <v>Unknown</v>
      </c>
    </row>
    <row r="649" spans="1:15" x14ac:dyDescent="0.3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f t="array" ref="O649">_xlfn.IFS(orders[[#This Row],[Customer Gender]]="M","Male", orders[[#This Row],[Customer Gender]]="F","Female", orders[[#This Row],[Customer Gender]]="O","Other", TRUE,"Unknown")</f>
        <v>Female</v>
      </c>
    </row>
    <row r="650" spans="1:15" x14ac:dyDescent="0.3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f t="array" ref="O650">_xlfn.IFS(orders[[#This Row],[Customer Gender]]="M","Male", orders[[#This Row],[Customer Gender]]="F","Female", orders[[#This Row],[Customer Gender]]="O","Other", TRUE,"Unknown")</f>
        <v>Female</v>
      </c>
    </row>
    <row r="651" spans="1:15" x14ac:dyDescent="0.3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f t="array" ref="O651">_xlfn.IFS(orders[[#This Row],[Customer Gender]]="M","Male", orders[[#This Row],[Customer Gender]]="F","Female", orders[[#This Row],[Customer Gender]]="O","Other", TRUE,"Unknown")</f>
        <v>Male</v>
      </c>
    </row>
    <row r="652" spans="1:15" x14ac:dyDescent="0.3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f t="array" ref="O652">_xlfn.IFS(orders[[#This Row],[Customer Gender]]="M","Male", orders[[#This Row],[Customer Gender]]="F","Female", orders[[#This Row],[Customer Gender]]="O","Other", TRUE,"Unknown")</f>
        <v>Female</v>
      </c>
    </row>
    <row r="653" spans="1:15" x14ac:dyDescent="0.3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f t="array" ref="O653">_xlfn.IFS(orders[[#This Row],[Customer Gender]]="M","Male", orders[[#This Row],[Customer Gender]]="F","Female", orders[[#This Row],[Customer Gender]]="O","Other", TRUE,"Unknown")</f>
        <v>Female</v>
      </c>
    </row>
    <row r="654" spans="1:15" x14ac:dyDescent="0.3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f t="array" ref="O654">_xlfn.IFS(orders[[#This Row],[Customer Gender]]="M","Male", orders[[#This Row],[Customer Gender]]="F","Female", orders[[#This Row],[Customer Gender]]="O","Other", TRUE,"Unknown")</f>
        <v>Male</v>
      </c>
    </row>
    <row r="655" spans="1:15" x14ac:dyDescent="0.3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f t="array" ref="O655">_xlfn.IFS(orders[[#This Row],[Customer Gender]]="M","Male", orders[[#This Row],[Customer Gender]]="F","Female", orders[[#This Row],[Customer Gender]]="O","Other", TRUE,"Unknown")</f>
        <v>Female</v>
      </c>
    </row>
    <row r="656" spans="1:15" x14ac:dyDescent="0.3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f t="array" ref="O656">_xlfn.IFS(orders[[#This Row],[Customer Gender]]="M","Male", orders[[#This Row],[Customer Gender]]="F","Female", orders[[#This Row],[Customer Gender]]="O","Other", TRUE,"Unknown")</f>
        <v>Male</v>
      </c>
    </row>
    <row r="657" spans="1:15" x14ac:dyDescent="0.3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f t="array" ref="O657">_xlfn.IFS(orders[[#This Row],[Customer Gender]]="M","Male", orders[[#This Row],[Customer Gender]]="F","Female", orders[[#This Row],[Customer Gender]]="O","Other", TRUE,"Unknown")</f>
        <v>Female</v>
      </c>
    </row>
    <row r="658" spans="1:15" x14ac:dyDescent="0.3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f t="array" ref="O658">_xlfn.IFS(orders[[#This Row],[Customer Gender]]="M","Male", orders[[#This Row],[Customer Gender]]="F","Female", orders[[#This Row],[Customer Gender]]="O","Other", TRUE,"Unknown")</f>
        <v>Male</v>
      </c>
    </row>
    <row r="659" spans="1:15" x14ac:dyDescent="0.3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f t="array" ref="O659">_xlfn.IFS(orders[[#This Row],[Customer Gender]]="M","Male", orders[[#This Row],[Customer Gender]]="F","Female", orders[[#This Row],[Customer Gender]]="O","Other", TRUE,"Unknown")</f>
        <v>Male</v>
      </c>
    </row>
    <row r="660" spans="1:15" x14ac:dyDescent="0.3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f t="array" ref="O660">_xlfn.IFS(orders[[#This Row],[Customer Gender]]="M","Male", orders[[#This Row],[Customer Gender]]="F","Female", orders[[#This Row],[Customer Gender]]="O","Other", TRUE,"Unknown")</f>
        <v>Female</v>
      </c>
    </row>
    <row r="661" spans="1:15" x14ac:dyDescent="0.3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f t="array" ref="O661">_xlfn.IFS(orders[[#This Row],[Customer Gender]]="M","Male", orders[[#This Row],[Customer Gender]]="F","Female", orders[[#This Row],[Customer Gender]]="O","Other", TRUE,"Unknown")</f>
        <v>Female</v>
      </c>
    </row>
    <row r="662" spans="1:15" x14ac:dyDescent="0.3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f t="array" ref="O662">_xlfn.IFS(orders[[#This Row],[Customer Gender]]="M","Male", orders[[#This Row],[Customer Gender]]="F","Female", orders[[#This Row],[Customer Gender]]="O","Other", TRUE,"Unknown")</f>
        <v>Female</v>
      </c>
    </row>
    <row r="663" spans="1:15" x14ac:dyDescent="0.3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f t="array" ref="O663">_xlfn.IFS(orders[[#This Row],[Customer Gender]]="M","Male", orders[[#This Row],[Customer Gender]]="F","Female", orders[[#This Row],[Customer Gender]]="O","Other", TRUE,"Unknown")</f>
        <v>Male</v>
      </c>
    </row>
    <row r="664" spans="1:15" x14ac:dyDescent="0.3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f t="array" ref="O664">_xlfn.IFS(orders[[#This Row],[Customer Gender]]="M","Male", orders[[#This Row],[Customer Gender]]="F","Female", orders[[#This Row],[Customer Gender]]="O","Other", TRUE,"Unknown")</f>
        <v>Female</v>
      </c>
    </row>
    <row r="665" spans="1:15" x14ac:dyDescent="0.3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f t="array" ref="O665">_xlfn.IFS(orders[[#This Row],[Customer Gender]]="M","Male", orders[[#This Row],[Customer Gender]]="F","Female", orders[[#This Row],[Customer Gender]]="O","Other", TRUE,"Unknown")</f>
        <v>Male</v>
      </c>
    </row>
    <row r="666" spans="1:15" x14ac:dyDescent="0.3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f t="array" ref="O666">_xlfn.IFS(orders[[#This Row],[Customer Gender]]="M","Male", orders[[#This Row],[Customer Gender]]="F","Female", orders[[#This Row],[Customer Gender]]="O","Other", TRUE,"Unknown")</f>
        <v>Male</v>
      </c>
    </row>
    <row r="667" spans="1:15" x14ac:dyDescent="0.3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f t="array" ref="O667">_xlfn.IFS(orders[[#This Row],[Customer Gender]]="M","Male", orders[[#This Row],[Customer Gender]]="F","Female", orders[[#This Row],[Customer Gender]]="O","Other", TRUE,"Unknown")</f>
        <v>Female</v>
      </c>
    </row>
    <row r="668" spans="1:15" x14ac:dyDescent="0.3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f t="array" ref="O668">_xlfn.IFS(orders[[#This Row],[Customer Gender]]="M","Male", orders[[#This Row],[Customer Gender]]="F","Female", orders[[#This Row],[Customer Gender]]="O","Other", TRUE,"Unknown")</f>
        <v>Male</v>
      </c>
    </row>
    <row r="669" spans="1:15" x14ac:dyDescent="0.3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f t="array" ref="O669">_xlfn.IFS(orders[[#This Row],[Customer Gender]]="M","Male", orders[[#This Row],[Customer Gender]]="F","Female", orders[[#This Row],[Customer Gender]]="O","Other", TRUE,"Unknown")</f>
        <v>Female</v>
      </c>
    </row>
    <row r="670" spans="1:15" x14ac:dyDescent="0.3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f t="array" ref="O670">_xlfn.IFS(orders[[#This Row],[Customer Gender]]="M","Male", orders[[#This Row],[Customer Gender]]="F","Female", orders[[#This Row],[Customer Gender]]="O","Other", TRUE,"Unknown")</f>
        <v>Female</v>
      </c>
    </row>
    <row r="671" spans="1:15" x14ac:dyDescent="0.3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f t="array" ref="O671">_xlfn.IFS(orders[[#This Row],[Customer Gender]]="M","Male", orders[[#This Row],[Customer Gender]]="F","Female", orders[[#This Row],[Customer Gender]]="O","Other", TRUE,"Unknown")</f>
        <v>Female</v>
      </c>
    </row>
    <row r="672" spans="1:15" x14ac:dyDescent="0.3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f t="array" ref="O672">_xlfn.IFS(orders[[#This Row],[Customer Gender]]="M","Male", orders[[#This Row],[Customer Gender]]="F","Female", orders[[#This Row],[Customer Gender]]="O","Other", TRUE,"Unknown")</f>
        <v>Female</v>
      </c>
    </row>
    <row r="673" spans="1:15" x14ac:dyDescent="0.3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f t="array" ref="O673">_xlfn.IFS(orders[[#This Row],[Customer Gender]]="M","Male", orders[[#This Row],[Customer Gender]]="F","Female", orders[[#This Row],[Customer Gender]]="O","Other", TRUE,"Unknown")</f>
        <v>Female</v>
      </c>
    </row>
    <row r="674" spans="1:15" x14ac:dyDescent="0.3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f t="array" ref="O674">_xlfn.IFS(orders[[#This Row],[Customer Gender]]="M","Male", orders[[#This Row],[Customer Gender]]="F","Female", orders[[#This Row],[Customer Gender]]="O","Other", TRUE,"Unknown")</f>
        <v>Female</v>
      </c>
    </row>
    <row r="675" spans="1:15" x14ac:dyDescent="0.3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f t="array" ref="O675">_xlfn.IFS(orders[[#This Row],[Customer Gender]]="M","Male", orders[[#This Row],[Customer Gender]]="F","Female", orders[[#This Row],[Customer Gender]]="O","Other", TRUE,"Unknown")</f>
        <v>Unknown</v>
      </c>
    </row>
    <row r="676" spans="1:15" x14ac:dyDescent="0.3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f t="array" ref="O676">_xlfn.IFS(orders[[#This Row],[Customer Gender]]="M","Male", orders[[#This Row],[Customer Gender]]="F","Female", orders[[#This Row],[Customer Gender]]="O","Other", TRUE,"Unknown")</f>
        <v>Female</v>
      </c>
    </row>
    <row r="677" spans="1:15" x14ac:dyDescent="0.3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f t="array" ref="O677">_xlfn.IFS(orders[[#This Row],[Customer Gender]]="M","Male", orders[[#This Row],[Customer Gender]]="F","Female", orders[[#This Row],[Customer Gender]]="O","Other", TRUE,"Unknown")</f>
        <v>Female</v>
      </c>
    </row>
    <row r="678" spans="1:15" x14ac:dyDescent="0.3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f t="array" ref="O678">_xlfn.IFS(orders[[#This Row],[Customer Gender]]="M","Male", orders[[#This Row],[Customer Gender]]="F","Female", orders[[#This Row],[Customer Gender]]="O","Other", TRUE,"Unknown")</f>
        <v>Male</v>
      </c>
    </row>
    <row r="679" spans="1:15" x14ac:dyDescent="0.3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f t="array" ref="O679">_xlfn.IFS(orders[[#This Row],[Customer Gender]]="M","Male", orders[[#This Row],[Customer Gender]]="F","Female", orders[[#This Row],[Customer Gender]]="O","Other", TRUE,"Unknown")</f>
        <v>Female</v>
      </c>
    </row>
    <row r="680" spans="1:15" x14ac:dyDescent="0.3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f t="array" ref="O680">_xlfn.IFS(orders[[#This Row],[Customer Gender]]="M","Male", orders[[#This Row],[Customer Gender]]="F","Female", orders[[#This Row],[Customer Gender]]="O","Other", TRUE,"Unknown")</f>
        <v>Female</v>
      </c>
    </row>
    <row r="681" spans="1:15" x14ac:dyDescent="0.3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f t="array" ref="O681">_xlfn.IFS(orders[[#This Row],[Customer Gender]]="M","Male", orders[[#This Row],[Customer Gender]]="F","Female", orders[[#This Row],[Customer Gender]]="O","Other", TRUE,"Unknown")</f>
        <v>Female</v>
      </c>
    </row>
    <row r="682" spans="1:15" x14ac:dyDescent="0.3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f t="array" ref="O682">_xlfn.IFS(orders[[#This Row],[Customer Gender]]="M","Male", orders[[#This Row],[Customer Gender]]="F","Female", orders[[#This Row],[Customer Gender]]="O","Other", TRUE,"Unknown")</f>
        <v>Female</v>
      </c>
    </row>
    <row r="683" spans="1:15" x14ac:dyDescent="0.3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f t="array" ref="O683">_xlfn.IFS(orders[[#This Row],[Customer Gender]]="M","Male", orders[[#This Row],[Customer Gender]]="F","Female", orders[[#This Row],[Customer Gender]]="O","Other", TRUE,"Unknown")</f>
        <v>Female</v>
      </c>
    </row>
    <row r="684" spans="1:15" x14ac:dyDescent="0.3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f t="array" ref="O684">_xlfn.IFS(orders[[#This Row],[Customer Gender]]="M","Male", orders[[#This Row],[Customer Gender]]="F","Female", orders[[#This Row],[Customer Gender]]="O","Other", TRUE,"Unknown")</f>
        <v>Male</v>
      </c>
    </row>
    <row r="685" spans="1:15" x14ac:dyDescent="0.3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f t="array" ref="O685">_xlfn.IFS(orders[[#This Row],[Customer Gender]]="M","Male", orders[[#This Row],[Customer Gender]]="F","Female", orders[[#This Row],[Customer Gender]]="O","Other", TRUE,"Unknown")</f>
        <v>Male</v>
      </c>
    </row>
    <row r="686" spans="1:15" x14ac:dyDescent="0.3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f t="array" ref="O686">_xlfn.IFS(orders[[#This Row],[Customer Gender]]="M","Male", orders[[#This Row],[Customer Gender]]="F","Female", orders[[#This Row],[Customer Gender]]="O","Other", TRUE,"Unknown")</f>
        <v>Male</v>
      </c>
    </row>
    <row r="687" spans="1:15" x14ac:dyDescent="0.3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f t="array" ref="O687">_xlfn.IFS(orders[[#This Row],[Customer Gender]]="M","Male", orders[[#This Row],[Customer Gender]]="F","Female", orders[[#This Row],[Customer Gender]]="O","Other", TRUE,"Unknown")</f>
        <v>Female</v>
      </c>
    </row>
    <row r="688" spans="1:15" x14ac:dyDescent="0.3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f t="array" ref="O688">_xlfn.IFS(orders[[#This Row],[Customer Gender]]="M","Male", orders[[#This Row],[Customer Gender]]="F","Female", orders[[#This Row],[Customer Gender]]="O","Other", TRUE,"Unknown")</f>
        <v>Female</v>
      </c>
    </row>
    <row r="689" spans="1:15" x14ac:dyDescent="0.3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f t="array" ref="O689">_xlfn.IFS(orders[[#This Row],[Customer Gender]]="M","Male", orders[[#This Row],[Customer Gender]]="F","Female", orders[[#This Row],[Customer Gender]]="O","Other", TRUE,"Unknown")</f>
        <v>Female</v>
      </c>
    </row>
    <row r="690" spans="1:15" x14ac:dyDescent="0.3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f t="array" ref="O690">_xlfn.IFS(orders[[#This Row],[Customer Gender]]="M","Male", orders[[#This Row],[Customer Gender]]="F","Female", orders[[#This Row],[Customer Gender]]="O","Other", TRUE,"Unknown")</f>
        <v>Female</v>
      </c>
    </row>
    <row r="691" spans="1:15" x14ac:dyDescent="0.3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f t="array" ref="O691">_xlfn.IFS(orders[[#This Row],[Customer Gender]]="M","Male", orders[[#This Row],[Customer Gender]]="F","Female", orders[[#This Row],[Customer Gender]]="O","Other", TRUE,"Unknown")</f>
        <v>Unknown</v>
      </c>
    </row>
    <row r="692" spans="1:15" x14ac:dyDescent="0.3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f t="array" ref="O692">_xlfn.IFS(orders[[#This Row],[Customer Gender]]="M","Male", orders[[#This Row],[Customer Gender]]="F","Female", orders[[#This Row],[Customer Gender]]="O","Other", TRUE,"Unknown")</f>
        <v>Male</v>
      </c>
    </row>
    <row r="693" spans="1:15" x14ac:dyDescent="0.3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f t="array" ref="O693">_xlfn.IFS(orders[[#This Row],[Customer Gender]]="M","Male", orders[[#This Row],[Customer Gender]]="F","Female", orders[[#This Row],[Customer Gender]]="O","Other", TRUE,"Unknown")</f>
        <v>Female</v>
      </c>
    </row>
    <row r="694" spans="1:15" x14ac:dyDescent="0.3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f t="array" ref="O694">_xlfn.IFS(orders[[#This Row],[Customer Gender]]="M","Male", orders[[#This Row],[Customer Gender]]="F","Female", orders[[#This Row],[Customer Gender]]="O","Other", TRUE,"Unknown")</f>
        <v>Male</v>
      </c>
    </row>
    <row r="695" spans="1:15" x14ac:dyDescent="0.3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f t="array" ref="O695">_xlfn.IFS(orders[[#This Row],[Customer Gender]]="M","Male", orders[[#This Row],[Customer Gender]]="F","Female", orders[[#This Row],[Customer Gender]]="O","Other", TRUE,"Unknown")</f>
        <v>Male</v>
      </c>
    </row>
    <row r="696" spans="1:15" x14ac:dyDescent="0.3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f t="array" ref="O696">_xlfn.IFS(orders[[#This Row],[Customer Gender]]="M","Male", orders[[#This Row],[Customer Gender]]="F","Female", orders[[#This Row],[Customer Gender]]="O","Other", TRUE,"Unknown")</f>
        <v>Male</v>
      </c>
    </row>
    <row r="697" spans="1:15" x14ac:dyDescent="0.3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f t="array" ref="O697">_xlfn.IFS(orders[[#This Row],[Customer Gender]]="M","Male", orders[[#This Row],[Customer Gender]]="F","Female", orders[[#This Row],[Customer Gender]]="O","Other", TRUE,"Unknown")</f>
        <v>Female</v>
      </c>
    </row>
    <row r="698" spans="1:15" x14ac:dyDescent="0.3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f t="array" ref="O698">_xlfn.IFS(orders[[#This Row],[Customer Gender]]="M","Male", orders[[#This Row],[Customer Gender]]="F","Female", orders[[#This Row],[Customer Gender]]="O","Other", TRUE,"Unknown")</f>
        <v>Female</v>
      </c>
    </row>
    <row r="699" spans="1:15" x14ac:dyDescent="0.3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f t="array" ref="O699">_xlfn.IFS(orders[[#This Row],[Customer Gender]]="M","Male", orders[[#This Row],[Customer Gender]]="F","Female", orders[[#This Row],[Customer Gender]]="O","Other", TRUE,"Unknown")</f>
        <v>Male</v>
      </c>
    </row>
    <row r="700" spans="1:15" x14ac:dyDescent="0.3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f t="array" ref="O700">_xlfn.IFS(orders[[#This Row],[Customer Gender]]="M","Male", orders[[#This Row],[Customer Gender]]="F","Female", orders[[#This Row],[Customer Gender]]="O","Other", TRUE,"Unknown")</f>
        <v>Unknown</v>
      </c>
    </row>
    <row r="701" spans="1:15" x14ac:dyDescent="0.3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f t="array" ref="O701">_xlfn.IFS(orders[[#This Row],[Customer Gender]]="M","Male", orders[[#This Row],[Customer Gender]]="F","Female", orders[[#This Row],[Customer Gender]]="O","Other", TRUE,"Unknown")</f>
        <v>Male</v>
      </c>
    </row>
    <row r="702" spans="1:15" x14ac:dyDescent="0.3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f t="array" ref="O702">_xlfn.IFS(orders[[#This Row],[Customer Gender]]="M","Male", orders[[#This Row],[Customer Gender]]="F","Female", orders[[#This Row],[Customer Gender]]="O","Other", TRUE,"Unknown")</f>
        <v>Female</v>
      </c>
    </row>
    <row r="703" spans="1:15" x14ac:dyDescent="0.3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f t="array" ref="O703">_xlfn.IFS(orders[[#This Row],[Customer Gender]]="M","Male", orders[[#This Row],[Customer Gender]]="F","Female", orders[[#This Row],[Customer Gender]]="O","Other", TRUE,"Unknown")</f>
        <v>Male</v>
      </c>
    </row>
    <row r="704" spans="1:15" x14ac:dyDescent="0.3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f t="array" ref="O704">_xlfn.IFS(orders[[#This Row],[Customer Gender]]="M","Male", orders[[#This Row],[Customer Gender]]="F","Female", orders[[#This Row],[Customer Gender]]="O","Other", TRUE,"Unknown")</f>
        <v>Male</v>
      </c>
    </row>
    <row r="705" spans="1:15" x14ac:dyDescent="0.3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f t="array" ref="O705">_xlfn.IFS(orders[[#This Row],[Customer Gender]]="M","Male", orders[[#This Row],[Customer Gender]]="F","Female", orders[[#This Row],[Customer Gender]]="O","Other", TRUE,"Unknown")</f>
        <v>Male</v>
      </c>
    </row>
    <row r="706" spans="1:15" x14ac:dyDescent="0.3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f t="array" ref="O706">_xlfn.IFS(orders[[#This Row],[Customer Gender]]="M","Male", orders[[#This Row],[Customer Gender]]="F","Female", orders[[#This Row],[Customer Gender]]="O","Other", TRUE,"Unknown")</f>
        <v>Male</v>
      </c>
    </row>
    <row r="707" spans="1:15" x14ac:dyDescent="0.3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f t="array" ref="O707">_xlfn.IFS(orders[[#This Row],[Customer Gender]]="M","Male", orders[[#This Row],[Customer Gender]]="F","Female", orders[[#This Row],[Customer Gender]]="O","Other", TRUE,"Unknown")</f>
        <v>Female</v>
      </c>
    </row>
    <row r="708" spans="1:15" x14ac:dyDescent="0.3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f t="array" ref="O708">_xlfn.IFS(orders[[#This Row],[Customer Gender]]="M","Male", orders[[#This Row],[Customer Gender]]="F","Female", orders[[#This Row],[Customer Gender]]="O","Other", TRUE,"Unknown")</f>
        <v>Male</v>
      </c>
    </row>
    <row r="709" spans="1:15" x14ac:dyDescent="0.3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f t="array" ref="O709">_xlfn.IFS(orders[[#This Row],[Customer Gender]]="M","Male", orders[[#This Row],[Customer Gender]]="F","Female", orders[[#This Row],[Customer Gender]]="O","Other", TRUE,"Unknown")</f>
        <v>Male</v>
      </c>
    </row>
    <row r="710" spans="1:15" x14ac:dyDescent="0.3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f t="array" ref="O710">_xlfn.IFS(orders[[#This Row],[Customer Gender]]="M","Male", orders[[#This Row],[Customer Gender]]="F","Female", orders[[#This Row],[Customer Gender]]="O","Other", TRUE,"Unknown")</f>
        <v>Male</v>
      </c>
    </row>
    <row r="711" spans="1:15" x14ac:dyDescent="0.3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f t="array" ref="O711">_xlfn.IFS(orders[[#This Row],[Customer Gender]]="M","Male", orders[[#This Row],[Customer Gender]]="F","Female", orders[[#This Row],[Customer Gender]]="O","Other", TRUE,"Unknown")</f>
        <v>Male</v>
      </c>
    </row>
    <row r="712" spans="1:15" x14ac:dyDescent="0.3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f t="array" ref="O712">_xlfn.IFS(orders[[#This Row],[Customer Gender]]="M","Male", orders[[#This Row],[Customer Gender]]="F","Female", orders[[#This Row],[Customer Gender]]="O","Other", TRUE,"Unknown")</f>
        <v>Unknown</v>
      </c>
    </row>
    <row r="713" spans="1:15" x14ac:dyDescent="0.3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f t="array" ref="O713">_xlfn.IFS(orders[[#This Row],[Customer Gender]]="M","Male", orders[[#This Row],[Customer Gender]]="F","Female", orders[[#This Row],[Customer Gender]]="O","Other", TRUE,"Unknown")</f>
        <v>Female</v>
      </c>
    </row>
    <row r="714" spans="1:15" x14ac:dyDescent="0.3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f t="array" ref="O714">_xlfn.IFS(orders[[#This Row],[Customer Gender]]="M","Male", orders[[#This Row],[Customer Gender]]="F","Female", orders[[#This Row],[Customer Gender]]="O","Other", TRUE,"Unknown")</f>
        <v>Male</v>
      </c>
    </row>
    <row r="715" spans="1:15" x14ac:dyDescent="0.3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f t="array" ref="O715">_xlfn.IFS(orders[[#This Row],[Customer Gender]]="M","Male", orders[[#This Row],[Customer Gender]]="F","Female", orders[[#This Row],[Customer Gender]]="O","Other", TRUE,"Unknown")</f>
        <v>Female</v>
      </c>
    </row>
    <row r="716" spans="1:15" x14ac:dyDescent="0.3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f t="array" ref="O716">_xlfn.IFS(orders[[#This Row],[Customer Gender]]="M","Male", orders[[#This Row],[Customer Gender]]="F","Female", orders[[#This Row],[Customer Gender]]="O","Other", TRUE,"Unknown")</f>
        <v>Male</v>
      </c>
    </row>
    <row r="717" spans="1:15" x14ac:dyDescent="0.3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f t="array" ref="O717">_xlfn.IFS(orders[[#This Row],[Customer Gender]]="M","Male", orders[[#This Row],[Customer Gender]]="F","Female", orders[[#This Row],[Customer Gender]]="O","Other", TRUE,"Unknown")</f>
        <v>Male</v>
      </c>
    </row>
    <row r="718" spans="1:15" x14ac:dyDescent="0.3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f t="array" ref="O718">_xlfn.IFS(orders[[#This Row],[Customer Gender]]="M","Male", orders[[#This Row],[Customer Gender]]="F","Female", orders[[#This Row],[Customer Gender]]="O","Other", TRUE,"Unknown")</f>
        <v>Female</v>
      </c>
    </row>
    <row r="719" spans="1:15" x14ac:dyDescent="0.3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f t="array" ref="O719">_xlfn.IFS(orders[[#This Row],[Customer Gender]]="M","Male", orders[[#This Row],[Customer Gender]]="F","Female", orders[[#This Row],[Customer Gender]]="O","Other", TRUE,"Unknown")</f>
        <v>Male</v>
      </c>
    </row>
    <row r="720" spans="1:15" x14ac:dyDescent="0.3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f t="array" ref="O720">_xlfn.IFS(orders[[#This Row],[Customer Gender]]="M","Male", orders[[#This Row],[Customer Gender]]="F","Female", orders[[#This Row],[Customer Gender]]="O","Other", TRUE,"Unknown")</f>
        <v>Female</v>
      </c>
    </row>
    <row r="721" spans="1:15" x14ac:dyDescent="0.3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f t="array" ref="O721">_xlfn.IFS(orders[[#This Row],[Customer Gender]]="M","Male", orders[[#This Row],[Customer Gender]]="F","Female", orders[[#This Row],[Customer Gender]]="O","Other", TRUE,"Unknown")</f>
        <v>Male</v>
      </c>
    </row>
    <row r="722" spans="1:15" x14ac:dyDescent="0.3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f t="array" ref="O722">_xlfn.IFS(orders[[#This Row],[Customer Gender]]="M","Male", orders[[#This Row],[Customer Gender]]="F","Female", orders[[#This Row],[Customer Gender]]="O","Other", TRUE,"Unknown")</f>
        <v>Male</v>
      </c>
    </row>
    <row r="723" spans="1:15" x14ac:dyDescent="0.3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f t="array" ref="O723">_xlfn.IFS(orders[[#This Row],[Customer Gender]]="M","Male", orders[[#This Row],[Customer Gender]]="F","Female", orders[[#This Row],[Customer Gender]]="O","Other", TRUE,"Unknown")</f>
        <v>Female</v>
      </c>
    </row>
    <row r="724" spans="1:15" x14ac:dyDescent="0.3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f t="array" ref="O724">_xlfn.IFS(orders[[#This Row],[Customer Gender]]="M","Male", orders[[#This Row],[Customer Gender]]="F","Female", orders[[#This Row],[Customer Gender]]="O","Other", TRUE,"Unknown")</f>
        <v>Male</v>
      </c>
    </row>
    <row r="725" spans="1:15" x14ac:dyDescent="0.3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f t="array" ref="O725">_xlfn.IFS(orders[[#This Row],[Customer Gender]]="M","Male", orders[[#This Row],[Customer Gender]]="F","Female", orders[[#This Row],[Customer Gender]]="O","Other", TRUE,"Unknown")</f>
        <v>Male</v>
      </c>
    </row>
    <row r="726" spans="1:15" x14ac:dyDescent="0.3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f t="array" ref="O726">_xlfn.IFS(orders[[#This Row],[Customer Gender]]="M","Male", orders[[#This Row],[Customer Gender]]="F","Female", orders[[#This Row],[Customer Gender]]="O","Other", TRUE,"Unknown")</f>
        <v>Male</v>
      </c>
    </row>
    <row r="727" spans="1:15" x14ac:dyDescent="0.3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f t="array" ref="O727">_xlfn.IFS(orders[[#This Row],[Customer Gender]]="M","Male", orders[[#This Row],[Customer Gender]]="F","Female", orders[[#This Row],[Customer Gender]]="O","Other", TRUE,"Unknown")</f>
        <v>Female</v>
      </c>
    </row>
    <row r="728" spans="1:15" x14ac:dyDescent="0.3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f t="array" ref="O728">_xlfn.IFS(orders[[#This Row],[Customer Gender]]="M","Male", orders[[#This Row],[Customer Gender]]="F","Female", orders[[#This Row],[Customer Gender]]="O","Other", TRUE,"Unknown")</f>
        <v>Other</v>
      </c>
    </row>
    <row r="729" spans="1:15" x14ac:dyDescent="0.3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f t="array" ref="O729">_xlfn.IFS(orders[[#This Row],[Customer Gender]]="M","Male", orders[[#This Row],[Customer Gender]]="F","Female", orders[[#This Row],[Customer Gender]]="O","Other", TRUE,"Unknown")</f>
        <v>Female</v>
      </c>
    </row>
    <row r="730" spans="1:15" x14ac:dyDescent="0.3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f t="array" ref="O730">_xlfn.IFS(orders[[#This Row],[Customer Gender]]="M","Male", orders[[#This Row],[Customer Gender]]="F","Female", orders[[#This Row],[Customer Gender]]="O","Other", TRUE,"Unknown")</f>
        <v>Female</v>
      </c>
    </row>
    <row r="731" spans="1:15" x14ac:dyDescent="0.3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f t="array" ref="O731">_xlfn.IFS(orders[[#This Row],[Customer Gender]]="M","Male", orders[[#This Row],[Customer Gender]]="F","Female", orders[[#This Row],[Customer Gender]]="O","Other", TRUE,"Unknown")</f>
        <v>Female</v>
      </c>
    </row>
    <row r="732" spans="1:15" x14ac:dyDescent="0.3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f t="array" ref="O732">_xlfn.IFS(orders[[#This Row],[Customer Gender]]="M","Male", orders[[#This Row],[Customer Gender]]="F","Female", orders[[#This Row],[Customer Gender]]="O","Other", TRUE,"Unknown")</f>
        <v>Female</v>
      </c>
    </row>
    <row r="733" spans="1:15" x14ac:dyDescent="0.3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f t="array" ref="O733">_xlfn.IFS(orders[[#This Row],[Customer Gender]]="M","Male", orders[[#This Row],[Customer Gender]]="F","Female", orders[[#This Row],[Customer Gender]]="O","Other", TRUE,"Unknown")</f>
        <v>Other</v>
      </c>
    </row>
    <row r="734" spans="1:15" x14ac:dyDescent="0.3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f t="array" ref="O734">_xlfn.IFS(orders[[#This Row],[Customer Gender]]="M","Male", orders[[#This Row],[Customer Gender]]="F","Female", orders[[#This Row],[Customer Gender]]="O","Other", TRUE,"Unknown")</f>
        <v>Female</v>
      </c>
    </row>
    <row r="735" spans="1:15" x14ac:dyDescent="0.3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f t="array" ref="O735">_xlfn.IFS(orders[[#This Row],[Customer Gender]]="M","Male", orders[[#This Row],[Customer Gender]]="F","Female", orders[[#This Row],[Customer Gender]]="O","Other", TRUE,"Unknown")</f>
        <v>Female</v>
      </c>
    </row>
    <row r="736" spans="1:15" x14ac:dyDescent="0.3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f t="array" ref="O736">_xlfn.IFS(orders[[#This Row],[Customer Gender]]="M","Male", orders[[#This Row],[Customer Gender]]="F","Female", orders[[#This Row],[Customer Gender]]="O","Other", TRUE,"Unknown")</f>
        <v>Female</v>
      </c>
    </row>
    <row r="737" spans="1:15" x14ac:dyDescent="0.3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f t="array" ref="O737">_xlfn.IFS(orders[[#This Row],[Customer Gender]]="M","Male", orders[[#This Row],[Customer Gender]]="F","Female", orders[[#This Row],[Customer Gender]]="O","Other", TRUE,"Unknown")</f>
        <v>Unknown</v>
      </c>
    </row>
    <row r="738" spans="1:15" x14ac:dyDescent="0.3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f t="array" ref="O738">_xlfn.IFS(orders[[#This Row],[Customer Gender]]="M","Male", orders[[#This Row],[Customer Gender]]="F","Female", orders[[#This Row],[Customer Gender]]="O","Other", TRUE,"Unknown")</f>
        <v>Female</v>
      </c>
    </row>
    <row r="739" spans="1:15" x14ac:dyDescent="0.3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f t="array" ref="O739">_xlfn.IFS(orders[[#This Row],[Customer Gender]]="M","Male", orders[[#This Row],[Customer Gender]]="F","Female", orders[[#This Row],[Customer Gender]]="O","Other", TRUE,"Unknown")</f>
        <v>Unknown</v>
      </c>
    </row>
    <row r="740" spans="1:15" x14ac:dyDescent="0.3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f t="array" ref="O740">_xlfn.IFS(orders[[#This Row],[Customer Gender]]="M","Male", orders[[#This Row],[Customer Gender]]="F","Female", orders[[#This Row],[Customer Gender]]="O","Other", TRUE,"Unknown")</f>
        <v>Female</v>
      </c>
    </row>
    <row r="741" spans="1:15" x14ac:dyDescent="0.3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f t="array" ref="O741">_xlfn.IFS(orders[[#This Row],[Customer Gender]]="M","Male", orders[[#This Row],[Customer Gender]]="F","Female", orders[[#This Row],[Customer Gender]]="O","Other", TRUE,"Unknown")</f>
        <v>Female</v>
      </c>
    </row>
    <row r="742" spans="1:15" x14ac:dyDescent="0.3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f t="array" ref="O742">_xlfn.IFS(orders[[#This Row],[Customer Gender]]="M","Male", orders[[#This Row],[Customer Gender]]="F","Female", orders[[#This Row],[Customer Gender]]="O","Other", TRUE,"Unknown")</f>
        <v>Female</v>
      </c>
    </row>
    <row r="743" spans="1:15" x14ac:dyDescent="0.3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f t="array" ref="O743">_xlfn.IFS(orders[[#This Row],[Customer Gender]]="M","Male", orders[[#This Row],[Customer Gender]]="F","Female", orders[[#This Row],[Customer Gender]]="O","Other", TRUE,"Unknown")</f>
        <v>Male</v>
      </c>
    </row>
    <row r="744" spans="1:15" x14ac:dyDescent="0.3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f t="array" ref="O744">_xlfn.IFS(orders[[#This Row],[Customer Gender]]="M","Male", orders[[#This Row],[Customer Gender]]="F","Female", orders[[#This Row],[Customer Gender]]="O","Other", TRUE,"Unknown")</f>
        <v>Female</v>
      </c>
    </row>
    <row r="745" spans="1:15" x14ac:dyDescent="0.3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f t="array" ref="O745">_xlfn.IFS(orders[[#This Row],[Customer Gender]]="M","Male", orders[[#This Row],[Customer Gender]]="F","Female", orders[[#This Row],[Customer Gender]]="O","Other", TRUE,"Unknown")</f>
        <v>Unknown</v>
      </c>
    </row>
    <row r="746" spans="1:15" x14ac:dyDescent="0.3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f t="array" ref="O746">_xlfn.IFS(orders[[#This Row],[Customer Gender]]="M","Male", orders[[#This Row],[Customer Gender]]="F","Female", orders[[#This Row],[Customer Gender]]="O","Other", TRUE,"Unknown")</f>
        <v>Female</v>
      </c>
    </row>
    <row r="747" spans="1:15" x14ac:dyDescent="0.3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f t="array" ref="O747">_xlfn.IFS(orders[[#This Row],[Customer Gender]]="M","Male", orders[[#This Row],[Customer Gender]]="F","Female", orders[[#This Row],[Customer Gender]]="O","Other", TRUE,"Unknown")</f>
        <v>Female</v>
      </c>
    </row>
    <row r="748" spans="1:15" x14ac:dyDescent="0.3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f t="array" ref="O748">_xlfn.IFS(orders[[#This Row],[Customer Gender]]="M","Male", orders[[#This Row],[Customer Gender]]="F","Female", orders[[#This Row],[Customer Gender]]="O","Other", TRUE,"Unknown")</f>
        <v>Male</v>
      </c>
    </row>
    <row r="749" spans="1:15" x14ac:dyDescent="0.3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f t="array" ref="O749">_xlfn.IFS(orders[[#This Row],[Customer Gender]]="M","Male", orders[[#This Row],[Customer Gender]]="F","Female", orders[[#This Row],[Customer Gender]]="O","Other", TRUE,"Unknown")</f>
        <v>Female</v>
      </c>
    </row>
    <row r="750" spans="1:15" x14ac:dyDescent="0.3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f t="array" ref="O750">_xlfn.IFS(orders[[#This Row],[Customer Gender]]="M","Male", orders[[#This Row],[Customer Gender]]="F","Female", orders[[#This Row],[Customer Gender]]="O","Other", TRUE,"Unknown")</f>
        <v>Male</v>
      </c>
    </row>
    <row r="751" spans="1:15" x14ac:dyDescent="0.3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f t="array" ref="O751">_xlfn.IFS(orders[[#This Row],[Customer Gender]]="M","Male", orders[[#This Row],[Customer Gender]]="F","Female", orders[[#This Row],[Customer Gender]]="O","Other", TRUE,"Unknown")</f>
        <v>Unknown</v>
      </c>
    </row>
    <row r="752" spans="1:15" x14ac:dyDescent="0.3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f t="array" ref="O752">_xlfn.IFS(orders[[#This Row],[Customer Gender]]="M","Male", orders[[#This Row],[Customer Gender]]="F","Female", orders[[#This Row],[Customer Gender]]="O","Other", TRUE,"Unknown")</f>
        <v>Male</v>
      </c>
    </row>
    <row r="753" spans="1:15" x14ac:dyDescent="0.3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f t="array" ref="O753">_xlfn.IFS(orders[[#This Row],[Customer Gender]]="M","Male", orders[[#This Row],[Customer Gender]]="F","Female", orders[[#This Row],[Customer Gender]]="O","Other", TRUE,"Unknown")</f>
        <v>Female</v>
      </c>
    </row>
    <row r="754" spans="1:15" x14ac:dyDescent="0.3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f t="array" ref="O754">_xlfn.IFS(orders[[#This Row],[Customer Gender]]="M","Male", orders[[#This Row],[Customer Gender]]="F","Female", orders[[#This Row],[Customer Gender]]="O","Other", TRUE,"Unknown")</f>
        <v>Male</v>
      </c>
    </row>
    <row r="755" spans="1:15" x14ac:dyDescent="0.3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f t="array" ref="O755">_xlfn.IFS(orders[[#This Row],[Customer Gender]]="M","Male", orders[[#This Row],[Customer Gender]]="F","Female", orders[[#This Row],[Customer Gender]]="O","Other", TRUE,"Unknown")</f>
        <v>Male</v>
      </c>
    </row>
    <row r="756" spans="1:15" x14ac:dyDescent="0.3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f t="array" ref="O756">_xlfn.IFS(orders[[#This Row],[Customer Gender]]="M","Male", orders[[#This Row],[Customer Gender]]="F","Female", orders[[#This Row],[Customer Gender]]="O","Other", TRUE,"Unknown")</f>
        <v>Female</v>
      </c>
    </row>
    <row r="757" spans="1:15" x14ac:dyDescent="0.3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f t="array" ref="O757">_xlfn.IFS(orders[[#This Row],[Customer Gender]]="M","Male", orders[[#This Row],[Customer Gender]]="F","Female", orders[[#This Row],[Customer Gender]]="O","Other", TRUE,"Unknown")</f>
        <v>Male</v>
      </c>
    </row>
    <row r="758" spans="1:15" x14ac:dyDescent="0.3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f t="array" ref="O758">_xlfn.IFS(orders[[#This Row],[Customer Gender]]="M","Male", orders[[#This Row],[Customer Gender]]="F","Female", orders[[#This Row],[Customer Gender]]="O","Other", TRUE,"Unknown")</f>
        <v>Female</v>
      </c>
    </row>
    <row r="759" spans="1:15" x14ac:dyDescent="0.3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f t="array" ref="O759">_xlfn.IFS(orders[[#This Row],[Customer Gender]]="M","Male", orders[[#This Row],[Customer Gender]]="F","Female", orders[[#This Row],[Customer Gender]]="O","Other", TRUE,"Unknown")</f>
        <v>Female</v>
      </c>
    </row>
    <row r="760" spans="1:15" x14ac:dyDescent="0.3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f t="array" ref="O760">_xlfn.IFS(orders[[#This Row],[Customer Gender]]="M","Male", orders[[#This Row],[Customer Gender]]="F","Female", orders[[#This Row],[Customer Gender]]="O","Other", TRUE,"Unknown")</f>
        <v>Female</v>
      </c>
    </row>
    <row r="761" spans="1:15" x14ac:dyDescent="0.3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f t="array" ref="O761">_xlfn.IFS(orders[[#This Row],[Customer Gender]]="M","Male", orders[[#This Row],[Customer Gender]]="F","Female", orders[[#This Row],[Customer Gender]]="O","Other", TRUE,"Unknown")</f>
        <v>Male</v>
      </c>
    </row>
    <row r="762" spans="1:15" x14ac:dyDescent="0.3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f t="array" ref="O762">_xlfn.IFS(orders[[#This Row],[Customer Gender]]="M","Male", orders[[#This Row],[Customer Gender]]="F","Female", orders[[#This Row],[Customer Gender]]="O","Other", TRUE,"Unknown")</f>
        <v>Female</v>
      </c>
    </row>
    <row r="763" spans="1:15" x14ac:dyDescent="0.3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f t="array" ref="O763">_xlfn.IFS(orders[[#This Row],[Customer Gender]]="M","Male", orders[[#This Row],[Customer Gender]]="F","Female", orders[[#This Row],[Customer Gender]]="O","Other", TRUE,"Unknown")</f>
        <v>Male</v>
      </c>
    </row>
    <row r="764" spans="1:15" x14ac:dyDescent="0.3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f t="array" ref="O764">_xlfn.IFS(orders[[#This Row],[Customer Gender]]="M","Male", orders[[#This Row],[Customer Gender]]="F","Female", orders[[#This Row],[Customer Gender]]="O","Other", TRUE,"Unknown")</f>
        <v>Male</v>
      </c>
    </row>
    <row r="765" spans="1:15" x14ac:dyDescent="0.3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f t="array" ref="O765">_xlfn.IFS(orders[[#This Row],[Customer Gender]]="M","Male", orders[[#This Row],[Customer Gender]]="F","Female", orders[[#This Row],[Customer Gender]]="O","Other", TRUE,"Unknown")</f>
        <v>Female</v>
      </c>
    </row>
    <row r="766" spans="1:15" x14ac:dyDescent="0.3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f t="array" ref="O766">_xlfn.IFS(orders[[#This Row],[Customer Gender]]="M","Male", orders[[#This Row],[Customer Gender]]="F","Female", orders[[#This Row],[Customer Gender]]="O","Other", TRUE,"Unknown")</f>
        <v>Female</v>
      </c>
    </row>
    <row r="767" spans="1:15" x14ac:dyDescent="0.3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f t="array" ref="O767">_xlfn.IFS(orders[[#This Row],[Customer Gender]]="M","Male", orders[[#This Row],[Customer Gender]]="F","Female", orders[[#This Row],[Customer Gender]]="O","Other", TRUE,"Unknown")</f>
        <v>Male</v>
      </c>
    </row>
    <row r="768" spans="1:15" x14ac:dyDescent="0.3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f t="array" ref="O768">_xlfn.IFS(orders[[#This Row],[Customer Gender]]="M","Male", orders[[#This Row],[Customer Gender]]="F","Female", orders[[#This Row],[Customer Gender]]="O","Other", TRUE,"Unknown")</f>
        <v>Male</v>
      </c>
    </row>
    <row r="769" spans="1:15" x14ac:dyDescent="0.3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f t="array" ref="O769">_xlfn.IFS(orders[[#This Row],[Customer Gender]]="M","Male", orders[[#This Row],[Customer Gender]]="F","Female", orders[[#This Row],[Customer Gender]]="O","Other", TRUE,"Unknown")</f>
        <v>Male</v>
      </c>
    </row>
    <row r="770" spans="1:15" x14ac:dyDescent="0.3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f t="array" ref="O770">_xlfn.IFS(orders[[#This Row],[Customer Gender]]="M","Male", orders[[#This Row],[Customer Gender]]="F","Female", orders[[#This Row],[Customer Gender]]="O","Other", TRUE,"Unknown")</f>
        <v>Female</v>
      </c>
    </row>
    <row r="771" spans="1:15" x14ac:dyDescent="0.3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f t="array" ref="O771">_xlfn.IFS(orders[[#This Row],[Customer Gender]]="M","Male", orders[[#This Row],[Customer Gender]]="F","Female", orders[[#This Row],[Customer Gender]]="O","Other", TRUE,"Unknown")</f>
        <v>Female</v>
      </c>
    </row>
    <row r="772" spans="1:15" x14ac:dyDescent="0.3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f t="array" ref="O772">_xlfn.IFS(orders[[#This Row],[Customer Gender]]="M","Male", orders[[#This Row],[Customer Gender]]="F","Female", orders[[#This Row],[Customer Gender]]="O","Other", TRUE,"Unknown")</f>
        <v>Female</v>
      </c>
    </row>
    <row r="773" spans="1:15" x14ac:dyDescent="0.3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f t="array" ref="O773">_xlfn.IFS(orders[[#This Row],[Customer Gender]]="M","Male", orders[[#This Row],[Customer Gender]]="F","Female", orders[[#This Row],[Customer Gender]]="O","Other", TRUE,"Unknown")</f>
        <v>Male</v>
      </c>
    </row>
    <row r="774" spans="1:15" x14ac:dyDescent="0.3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f t="array" ref="O774">_xlfn.IFS(orders[[#This Row],[Customer Gender]]="M","Male", orders[[#This Row],[Customer Gender]]="F","Female", orders[[#This Row],[Customer Gender]]="O","Other", TRUE,"Unknown")</f>
        <v>Male</v>
      </c>
    </row>
    <row r="775" spans="1:15" x14ac:dyDescent="0.3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f t="array" ref="O775">_xlfn.IFS(orders[[#This Row],[Customer Gender]]="M","Male", orders[[#This Row],[Customer Gender]]="F","Female", orders[[#This Row],[Customer Gender]]="O","Other", TRUE,"Unknown")</f>
        <v>Female</v>
      </c>
    </row>
    <row r="776" spans="1:15" x14ac:dyDescent="0.3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f t="array" ref="O776">_xlfn.IFS(orders[[#This Row],[Customer Gender]]="M","Male", orders[[#This Row],[Customer Gender]]="F","Female", orders[[#This Row],[Customer Gender]]="O","Other", TRUE,"Unknown")</f>
        <v>Male</v>
      </c>
    </row>
    <row r="777" spans="1:15" x14ac:dyDescent="0.3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f t="array" ref="O777">_xlfn.IFS(orders[[#This Row],[Customer Gender]]="M","Male", orders[[#This Row],[Customer Gender]]="F","Female", orders[[#This Row],[Customer Gender]]="O","Other", TRUE,"Unknown")</f>
        <v>Female</v>
      </c>
    </row>
    <row r="778" spans="1:15" x14ac:dyDescent="0.3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f t="array" ref="O778">_xlfn.IFS(orders[[#This Row],[Customer Gender]]="M","Male", orders[[#This Row],[Customer Gender]]="F","Female", orders[[#This Row],[Customer Gender]]="O","Other", TRUE,"Unknown")</f>
        <v>Unknown</v>
      </c>
    </row>
    <row r="779" spans="1:15" x14ac:dyDescent="0.3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f t="array" ref="O779">_xlfn.IFS(orders[[#This Row],[Customer Gender]]="M","Male", orders[[#This Row],[Customer Gender]]="F","Female", orders[[#This Row],[Customer Gender]]="O","Other", TRUE,"Unknown")</f>
        <v>Female</v>
      </c>
    </row>
    <row r="780" spans="1:15" x14ac:dyDescent="0.3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f t="array" ref="O780">_xlfn.IFS(orders[[#This Row],[Customer Gender]]="M","Male", orders[[#This Row],[Customer Gender]]="F","Female", orders[[#This Row],[Customer Gender]]="O","Other", TRUE,"Unknown")</f>
        <v>Other</v>
      </c>
    </row>
    <row r="781" spans="1:15" x14ac:dyDescent="0.3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f t="array" ref="O781">_xlfn.IFS(orders[[#This Row],[Customer Gender]]="M","Male", orders[[#This Row],[Customer Gender]]="F","Female", orders[[#This Row],[Customer Gender]]="O","Other", TRUE,"Unknown")</f>
        <v>Female</v>
      </c>
    </row>
    <row r="782" spans="1:15" x14ac:dyDescent="0.3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f t="array" ref="O782">_xlfn.IFS(orders[[#This Row],[Customer Gender]]="M","Male", orders[[#This Row],[Customer Gender]]="F","Female", orders[[#This Row],[Customer Gender]]="O","Other", TRUE,"Unknown")</f>
        <v>Female</v>
      </c>
    </row>
    <row r="783" spans="1:15" x14ac:dyDescent="0.3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f t="array" ref="O783">_xlfn.IFS(orders[[#This Row],[Customer Gender]]="M","Male", orders[[#This Row],[Customer Gender]]="F","Female", orders[[#This Row],[Customer Gender]]="O","Other", TRUE,"Unknown")</f>
        <v>Female</v>
      </c>
    </row>
    <row r="784" spans="1:15" x14ac:dyDescent="0.3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f t="array" ref="O784">_xlfn.IFS(orders[[#This Row],[Customer Gender]]="M","Male", orders[[#This Row],[Customer Gender]]="F","Female", orders[[#This Row],[Customer Gender]]="O","Other", TRUE,"Unknown")</f>
        <v>Male</v>
      </c>
    </row>
    <row r="785" spans="1:15" x14ac:dyDescent="0.3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f t="array" ref="O785">_xlfn.IFS(orders[[#This Row],[Customer Gender]]="M","Male", orders[[#This Row],[Customer Gender]]="F","Female", orders[[#This Row],[Customer Gender]]="O","Other", TRUE,"Unknown")</f>
        <v>Female</v>
      </c>
    </row>
    <row r="786" spans="1:15" x14ac:dyDescent="0.3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f t="array" ref="O786">_xlfn.IFS(orders[[#This Row],[Customer Gender]]="M","Male", orders[[#This Row],[Customer Gender]]="F","Female", orders[[#This Row],[Customer Gender]]="O","Other", TRUE,"Unknown")</f>
        <v>Female</v>
      </c>
    </row>
    <row r="787" spans="1:15" x14ac:dyDescent="0.3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f t="array" ref="O787">_xlfn.IFS(orders[[#This Row],[Customer Gender]]="M","Male", orders[[#This Row],[Customer Gender]]="F","Female", orders[[#This Row],[Customer Gender]]="O","Other", TRUE,"Unknown")</f>
        <v>Female</v>
      </c>
    </row>
    <row r="788" spans="1:15" x14ac:dyDescent="0.3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f t="array" ref="O788">_xlfn.IFS(orders[[#This Row],[Customer Gender]]="M","Male", orders[[#This Row],[Customer Gender]]="F","Female", orders[[#This Row],[Customer Gender]]="O","Other", TRUE,"Unknown")</f>
        <v>Female</v>
      </c>
    </row>
    <row r="789" spans="1:15" x14ac:dyDescent="0.3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f t="array" ref="O789">_xlfn.IFS(orders[[#This Row],[Customer Gender]]="M","Male", orders[[#This Row],[Customer Gender]]="F","Female", orders[[#This Row],[Customer Gender]]="O","Other", TRUE,"Unknown")</f>
        <v>Female</v>
      </c>
    </row>
    <row r="790" spans="1:15" x14ac:dyDescent="0.3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f t="array" ref="O790">_xlfn.IFS(orders[[#This Row],[Customer Gender]]="M","Male", orders[[#This Row],[Customer Gender]]="F","Female", orders[[#This Row],[Customer Gender]]="O","Other", TRUE,"Unknown")</f>
        <v>Male</v>
      </c>
    </row>
    <row r="791" spans="1:15" x14ac:dyDescent="0.3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f t="array" ref="O791">_xlfn.IFS(orders[[#This Row],[Customer Gender]]="M","Male", orders[[#This Row],[Customer Gender]]="F","Female", orders[[#This Row],[Customer Gender]]="O","Other", TRUE,"Unknown")</f>
        <v>Female</v>
      </c>
    </row>
    <row r="792" spans="1:15" x14ac:dyDescent="0.3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f t="array" ref="O792">_xlfn.IFS(orders[[#This Row],[Customer Gender]]="M","Male", orders[[#This Row],[Customer Gender]]="F","Female", orders[[#This Row],[Customer Gender]]="O","Other", TRUE,"Unknown")</f>
        <v>Male</v>
      </c>
    </row>
    <row r="793" spans="1:15" x14ac:dyDescent="0.3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f t="array" ref="O793">_xlfn.IFS(orders[[#This Row],[Customer Gender]]="M","Male", orders[[#This Row],[Customer Gender]]="F","Female", orders[[#This Row],[Customer Gender]]="O","Other", TRUE,"Unknown")</f>
        <v>Male</v>
      </c>
    </row>
    <row r="794" spans="1:15" x14ac:dyDescent="0.3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f t="array" ref="O794">_xlfn.IFS(orders[[#This Row],[Customer Gender]]="M","Male", orders[[#This Row],[Customer Gender]]="F","Female", orders[[#This Row],[Customer Gender]]="O","Other", TRUE,"Unknown")</f>
        <v>Male</v>
      </c>
    </row>
    <row r="795" spans="1:15" x14ac:dyDescent="0.3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f t="array" ref="O795">_xlfn.IFS(orders[[#This Row],[Customer Gender]]="M","Male", orders[[#This Row],[Customer Gender]]="F","Female", orders[[#This Row],[Customer Gender]]="O","Other", TRUE,"Unknown")</f>
        <v>Female</v>
      </c>
    </row>
    <row r="796" spans="1:15" x14ac:dyDescent="0.3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f t="array" ref="O796">_xlfn.IFS(orders[[#This Row],[Customer Gender]]="M","Male", orders[[#This Row],[Customer Gender]]="F","Female", orders[[#This Row],[Customer Gender]]="O","Other", TRUE,"Unknown")</f>
        <v>Male</v>
      </c>
    </row>
    <row r="797" spans="1:15" x14ac:dyDescent="0.3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f t="array" ref="O797">_xlfn.IFS(orders[[#This Row],[Customer Gender]]="M","Male", orders[[#This Row],[Customer Gender]]="F","Female", orders[[#This Row],[Customer Gender]]="O","Other", TRUE,"Unknown")</f>
        <v>Female</v>
      </c>
    </row>
    <row r="798" spans="1:15" x14ac:dyDescent="0.3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f t="array" ref="O798">_xlfn.IFS(orders[[#This Row],[Customer Gender]]="M","Male", orders[[#This Row],[Customer Gender]]="F","Female", orders[[#This Row],[Customer Gender]]="O","Other", TRUE,"Unknown")</f>
        <v>Male</v>
      </c>
    </row>
    <row r="799" spans="1:15" x14ac:dyDescent="0.3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f t="array" ref="O799">_xlfn.IFS(orders[[#This Row],[Customer Gender]]="M","Male", orders[[#This Row],[Customer Gender]]="F","Female", orders[[#This Row],[Customer Gender]]="O","Other", TRUE,"Unknown")</f>
        <v>Female</v>
      </c>
    </row>
    <row r="800" spans="1:15" x14ac:dyDescent="0.3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f t="array" ref="O800">_xlfn.IFS(orders[[#This Row],[Customer Gender]]="M","Male", orders[[#This Row],[Customer Gender]]="F","Female", orders[[#This Row],[Customer Gender]]="O","Other", TRUE,"Unknown")</f>
        <v>Female</v>
      </c>
    </row>
    <row r="801" spans="1:15" x14ac:dyDescent="0.3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f t="array" ref="O801">_xlfn.IFS(orders[[#This Row],[Customer Gender]]="M","Male", orders[[#This Row],[Customer Gender]]="F","Female", orders[[#This Row],[Customer Gender]]="O","Other", TRUE,"Unknown")</f>
        <v>Female</v>
      </c>
    </row>
    <row r="802" spans="1:15" x14ac:dyDescent="0.3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f t="array" ref="O802">_xlfn.IFS(orders[[#This Row],[Customer Gender]]="M","Male", orders[[#This Row],[Customer Gender]]="F","Female", orders[[#This Row],[Customer Gender]]="O","Other", TRUE,"Unknown")</f>
        <v>Male</v>
      </c>
    </row>
    <row r="803" spans="1:15" x14ac:dyDescent="0.3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f t="array" ref="O803">_xlfn.IFS(orders[[#This Row],[Customer Gender]]="M","Male", orders[[#This Row],[Customer Gender]]="F","Female", orders[[#This Row],[Customer Gender]]="O","Other", TRUE,"Unknown")</f>
        <v>Male</v>
      </c>
    </row>
    <row r="804" spans="1:15" x14ac:dyDescent="0.3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f t="array" ref="O804">_xlfn.IFS(orders[[#This Row],[Customer Gender]]="M","Male", orders[[#This Row],[Customer Gender]]="F","Female", orders[[#This Row],[Customer Gender]]="O","Other", TRUE,"Unknown")</f>
        <v>Female</v>
      </c>
    </row>
    <row r="805" spans="1:15" x14ac:dyDescent="0.3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f t="array" ref="O805">_xlfn.IFS(orders[[#This Row],[Customer Gender]]="M","Male", orders[[#This Row],[Customer Gender]]="F","Female", orders[[#This Row],[Customer Gender]]="O","Other", TRUE,"Unknown")</f>
        <v>Male</v>
      </c>
    </row>
    <row r="806" spans="1:15" x14ac:dyDescent="0.3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f t="array" ref="O806">_xlfn.IFS(orders[[#This Row],[Customer Gender]]="M","Male", orders[[#This Row],[Customer Gender]]="F","Female", orders[[#This Row],[Customer Gender]]="O","Other", TRUE,"Unknown")</f>
        <v>Female</v>
      </c>
    </row>
    <row r="807" spans="1:15" x14ac:dyDescent="0.3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f t="array" ref="O807">_xlfn.IFS(orders[[#This Row],[Customer Gender]]="M","Male", orders[[#This Row],[Customer Gender]]="F","Female", orders[[#This Row],[Customer Gender]]="O","Other", TRUE,"Unknown")</f>
        <v>Female</v>
      </c>
    </row>
    <row r="808" spans="1:15" x14ac:dyDescent="0.3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f t="array" ref="O808">_xlfn.IFS(orders[[#This Row],[Customer Gender]]="M","Male", orders[[#This Row],[Customer Gender]]="F","Female", orders[[#This Row],[Customer Gender]]="O","Other", TRUE,"Unknown")</f>
        <v>Female</v>
      </c>
    </row>
    <row r="809" spans="1:15" x14ac:dyDescent="0.3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f t="array" ref="O809">_xlfn.IFS(orders[[#This Row],[Customer Gender]]="M","Male", orders[[#This Row],[Customer Gender]]="F","Female", orders[[#This Row],[Customer Gender]]="O","Other", TRUE,"Unknown")</f>
        <v>Male</v>
      </c>
    </row>
    <row r="810" spans="1:15" x14ac:dyDescent="0.3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f t="array" ref="O810">_xlfn.IFS(orders[[#This Row],[Customer Gender]]="M","Male", orders[[#This Row],[Customer Gender]]="F","Female", orders[[#This Row],[Customer Gender]]="O","Other", TRUE,"Unknown")</f>
        <v>Female</v>
      </c>
    </row>
    <row r="811" spans="1:15" x14ac:dyDescent="0.3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f t="array" ref="O811">_xlfn.IFS(orders[[#This Row],[Customer Gender]]="M","Male", orders[[#This Row],[Customer Gender]]="F","Female", orders[[#This Row],[Customer Gender]]="O","Other", TRUE,"Unknown")</f>
        <v>Unknown</v>
      </c>
    </row>
    <row r="812" spans="1:15" x14ac:dyDescent="0.3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f t="array" ref="O812">_xlfn.IFS(orders[[#This Row],[Customer Gender]]="M","Male", orders[[#This Row],[Customer Gender]]="F","Female", orders[[#This Row],[Customer Gender]]="O","Other", TRUE,"Unknown")</f>
        <v>Female</v>
      </c>
    </row>
    <row r="813" spans="1:15" x14ac:dyDescent="0.3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f t="array" ref="O813">_xlfn.IFS(orders[[#This Row],[Customer Gender]]="M","Male", orders[[#This Row],[Customer Gender]]="F","Female", orders[[#This Row],[Customer Gender]]="O","Other", TRUE,"Unknown")</f>
        <v>Female</v>
      </c>
    </row>
    <row r="814" spans="1:15" x14ac:dyDescent="0.3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f t="array" ref="O814">_xlfn.IFS(orders[[#This Row],[Customer Gender]]="M","Male", orders[[#This Row],[Customer Gender]]="F","Female", orders[[#This Row],[Customer Gender]]="O","Other", TRUE,"Unknown")</f>
        <v>Female</v>
      </c>
    </row>
    <row r="815" spans="1:15" x14ac:dyDescent="0.3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f t="array" ref="O815">_xlfn.IFS(orders[[#This Row],[Customer Gender]]="M","Male", orders[[#This Row],[Customer Gender]]="F","Female", orders[[#This Row],[Customer Gender]]="O","Other", TRUE,"Unknown")</f>
        <v>Female</v>
      </c>
    </row>
    <row r="816" spans="1:15" x14ac:dyDescent="0.3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f t="array" ref="O816">_xlfn.IFS(orders[[#This Row],[Customer Gender]]="M","Male", orders[[#This Row],[Customer Gender]]="F","Female", orders[[#This Row],[Customer Gender]]="O","Other", TRUE,"Unknown")</f>
        <v>Male</v>
      </c>
    </row>
    <row r="817" spans="1:15" x14ac:dyDescent="0.3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f t="array" ref="O817">_xlfn.IFS(orders[[#This Row],[Customer Gender]]="M","Male", orders[[#This Row],[Customer Gender]]="F","Female", orders[[#This Row],[Customer Gender]]="O","Other", TRUE,"Unknown")</f>
        <v>Female</v>
      </c>
    </row>
    <row r="818" spans="1:15" x14ac:dyDescent="0.3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f t="array" ref="O818">_xlfn.IFS(orders[[#This Row],[Customer Gender]]="M","Male", orders[[#This Row],[Customer Gender]]="F","Female", orders[[#This Row],[Customer Gender]]="O","Other", TRUE,"Unknown")</f>
        <v>Female</v>
      </c>
    </row>
    <row r="819" spans="1:15" x14ac:dyDescent="0.3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f t="array" ref="O819">_xlfn.IFS(orders[[#This Row],[Customer Gender]]="M","Male", orders[[#This Row],[Customer Gender]]="F","Female", orders[[#This Row],[Customer Gender]]="O","Other", TRUE,"Unknown")</f>
        <v>Female</v>
      </c>
    </row>
    <row r="820" spans="1:15" x14ac:dyDescent="0.3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f t="array" ref="O820">_xlfn.IFS(orders[[#This Row],[Customer Gender]]="M","Male", orders[[#This Row],[Customer Gender]]="F","Female", orders[[#This Row],[Customer Gender]]="O","Other", TRUE,"Unknown")</f>
        <v>Other</v>
      </c>
    </row>
    <row r="821" spans="1:15" x14ac:dyDescent="0.3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f t="array" ref="O821">_xlfn.IFS(orders[[#This Row],[Customer Gender]]="M","Male", orders[[#This Row],[Customer Gender]]="F","Female", orders[[#This Row],[Customer Gender]]="O","Other", TRUE,"Unknown")</f>
        <v>Female</v>
      </c>
    </row>
    <row r="822" spans="1:15" x14ac:dyDescent="0.3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f t="array" ref="O822">_xlfn.IFS(orders[[#This Row],[Customer Gender]]="M","Male", orders[[#This Row],[Customer Gender]]="F","Female", orders[[#This Row],[Customer Gender]]="O","Other", TRUE,"Unknown")</f>
        <v>Female</v>
      </c>
    </row>
    <row r="823" spans="1:15" x14ac:dyDescent="0.3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f t="array" ref="O823">_xlfn.IFS(orders[[#This Row],[Customer Gender]]="M","Male", orders[[#This Row],[Customer Gender]]="F","Female", orders[[#This Row],[Customer Gender]]="O","Other", TRUE,"Unknown")</f>
        <v>Female</v>
      </c>
    </row>
    <row r="824" spans="1:15" x14ac:dyDescent="0.3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f t="array" ref="O824">_xlfn.IFS(orders[[#This Row],[Customer Gender]]="M","Male", orders[[#This Row],[Customer Gender]]="F","Female", orders[[#This Row],[Customer Gender]]="O","Other", TRUE,"Unknown")</f>
        <v>Female</v>
      </c>
    </row>
    <row r="825" spans="1:15" x14ac:dyDescent="0.3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f t="array" ref="O825">_xlfn.IFS(orders[[#This Row],[Customer Gender]]="M","Male", orders[[#This Row],[Customer Gender]]="F","Female", orders[[#This Row],[Customer Gender]]="O","Other", TRUE,"Unknown")</f>
        <v>Female</v>
      </c>
    </row>
    <row r="826" spans="1:15" x14ac:dyDescent="0.3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f t="array" ref="O826">_xlfn.IFS(orders[[#This Row],[Customer Gender]]="M","Male", orders[[#This Row],[Customer Gender]]="F","Female", orders[[#This Row],[Customer Gender]]="O","Other", TRUE,"Unknown")</f>
        <v>Male</v>
      </c>
    </row>
    <row r="827" spans="1:15" x14ac:dyDescent="0.3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f t="array" ref="O827">_xlfn.IFS(orders[[#This Row],[Customer Gender]]="M","Male", orders[[#This Row],[Customer Gender]]="F","Female", orders[[#This Row],[Customer Gender]]="O","Other", TRUE,"Unknown")</f>
        <v>Male</v>
      </c>
    </row>
    <row r="828" spans="1:15" x14ac:dyDescent="0.3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f t="array" ref="O828">_xlfn.IFS(orders[[#This Row],[Customer Gender]]="M","Male", orders[[#This Row],[Customer Gender]]="F","Female", orders[[#This Row],[Customer Gender]]="O","Other", TRUE,"Unknown")</f>
        <v>Unknown</v>
      </c>
    </row>
    <row r="829" spans="1:15" x14ac:dyDescent="0.3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f t="array" ref="O829">_xlfn.IFS(orders[[#This Row],[Customer Gender]]="M","Male", orders[[#This Row],[Customer Gender]]="F","Female", orders[[#This Row],[Customer Gender]]="O","Other", TRUE,"Unknown")</f>
        <v>Male</v>
      </c>
    </row>
    <row r="830" spans="1:15" x14ac:dyDescent="0.3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f t="array" ref="O830">_xlfn.IFS(orders[[#This Row],[Customer Gender]]="M","Male", orders[[#This Row],[Customer Gender]]="F","Female", orders[[#This Row],[Customer Gender]]="O","Other", TRUE,"Unknown")</f>
        <v>Female</v>
      </c>
    </row>
    <row r="831" spans="1:15" x14ac:dyDescent="0.3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f t="array" ref="O831">_xlfn.IFS(orders[[#This Row],[Customer Gender]]="M","Male", orders[[#This Row],[Customer Gender]]="F","Female", orders[[#This Row],[Customer Gender]]="O","Other", TRUE,"Unknown")</f>
        <v>Male</v>
      </c>
    </row>
    <row r="832" spans="1:15" x14ac:dyDescent="0.3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f t="array" ref="O832">_xlfn.IFS(orders[[#This Row],[Customer Gender]]="M","Male", orders[[#This Row],[Customer Gender]]="F","Female", orders[[#This Row],[Customer Gender]]="O","Other", TRUE,"Unknown")</f>
        <v>Female</v>
      </c>
    </row>
    <row r="833" spans="1:15" x14ac:dyDescent="0.3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f t="array" ref="O833">_xlfn.IFS(orders[[#This Row],[Customer Gender]]="M","Male", orders[[#This Row],[Customer Gender]]="F","Female", orders[[#This Row],[Customer Gender]]="O","Other", TRUE,"Unknown")</f>
        <v>Unknown</v>
      </c>
    </row>
    <row r="834" spans="1:15" x14ac:dyDescent="0.3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f t="array" ref="O834">_xlfn.IFS(orders[[#This Row],[Customer Gender]]="M","Male", orders[[#This Row],[Customer Gender]]="F","Female", orders[[#This Row],[Customer Gender]]="O","Other", TRUE,"Unknown")</f>
        <v>Female</v>
      </c>
    </row>
    <row r="835" spans="1:15" x14ac:dyDescent="0.3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f t="array" ref="O835">_xlfn.IFS(orders[[#This Row],[Customer Gender]]="M","Male", orders[[#This Row],[Customer Gender]]="F","Female", orders[[#This Row],[Customer Gender]]="O","Other", TRUE,"Unknown")</f>
        <v>Female</v>
      </c>
    </row>
    <row r="836" spans="1:15" x14ac:dyDescent="0.3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f t="array" ref="O836">_xlfn.IFS(orders[[#This Row],[Customer Gender]]="M","Male", orders[[#This Row],[Customer Gender]]="F","Female", orders[[#This Row],[Customer Gender]]="O","Other", TRUE,"Unknown")</f>
        <v>Male</v>
      </c>
    </row>
    <row r="837" spans="1:15" x14ac:dyDescent="0.3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f t="array" ref="O837">_xlfn.IFS(orders[[#This Row],[Customer Gender]]="M","Male", orders[[#This Row],[Customer Gender]]="F","Female", orders[[#This Row],[Customer Gender]]="O","Other", TRUE,"Unknown")</f>
        <v>Male</v>
      </c>
    </row>
    <row r="838" spans="1:15" x14ac:dyDescent="0.3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f t="array" ref="O838">_xlfn.IFS(orders[[#This Row],[Customer Gender]]="M","Male", orders[[#This Row],[Customer Gender]]="F","Female", orders[[#This Row],[Customer Gender]]="O","Other", TRUE,"Unknown")</f>
        <v>Unknown</v>
      </c>
    </row>
    <row r="839" spans="1:15" x14ac:dyDescent="0.3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f t="array" ref="O839">_xlfn.IFS(orders[[#This Row],[Customer Gender]]="M","Male", orders[[#This Row],[Customer Gender]]="F","Female", orders[[#This Row],[Customer Gender]]="O","Other", TRUE,"Unknown")</f>
        <v>Female</v>
      </c>
    </row>
    <row r="840" spans="1:15" x14ac:dyDescent="0.3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f t="array" ref="O840">_xlfn.IFS(orders[[#This Row],[Customer Gender]]="M","Male", orders[[#This Row],[Customer Gender]]="F","Female", orders[[#This Row],[Customer Gender]]="O","Other", TRUE,"Unknown")</f>
        <v>Female</v>
      </c>
    </row>
    <row r="841" spans="1:15" x14ac:dyDescent="0.3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f t="array" ref="O841">_xlfn.IFS(orders[[#This Row],[Customer Gender]]="M","Male", orders[[#This Row],[Customer Gender]]="F","Female", orders[[#This Row],[Customer Gender]]="O","Other", TRUE,"Unknown")</f>
        <v>Female</v>
      </c>
    </row>
    <row r="842" spans="1:15" x14ac:dyDescent="0.3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f t="array" ref="O842">_xlfn.IFS(orders[[#This Row],[Customer Gender]]="M","Male", orders[[#This Row],[Customer Gender]]="F","Female", orders[[#This Row],[Customer Gender]]="O","Other", TRUE,"Unknown")</f>
        <v>Female</v>
      </c>
    </row>
    <row r="843" spans="1:15" x14ac:dyDescent="0.3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f t="array" ref="O843">_xlfn.IFS(orders[[#This Row],[Customer Gender]]="M","Male", orders[[#This Row],[Customer Gender]]="F","Female", orders[[#This Row],[Customer Gender]]="O","Other", TRUE,"Unknown")</f>
        <v>Female</v>
      </c>
    </row>
    <row r="844" spans="1:15" x14ac:dyDescent="0.3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f t="array" ref="O844">_xlfn.IFS(orders[[#This Row],[Customer Gender]]="M","Male", orders[[#This Row],[Customer Gender]]="F","Female", orders[[#This Row],[Customer Gender]]="O","Other", TRUE,"Unknown")</f>
        <v>Female</v>
      </c>
    </row>
    <row r="845" spans="1:15" x14ac:dyDescent="0.3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f t="array" ref="O845">_xlfn.IFS(orders[[#This Row],[Customer Gender]]="M","Male", orders[[#This Row],[Customer Gender]]="F","Female", orders[[#This Row],[Customer Gender]]="O","Other", TRUE,"Unknown")</f>
        <v>Female</v>
      </c>
    </row>
    <row r="846" spans="1:15" x14ac:dyDescent="0.3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f t="array" ref="O846">_xlfn.IFS(orders[[#This Row],[Customer Gender]]="M","Male", orders[[#This Row],[Customer Gender]]="F","Female", orders[[#This Row],[Customer Gender]]="O","Other", TRUE,"Unknown")</f>
        <v>Female</v>
      </c>
    </row>
    <row r="847" spans="1:15" x14ac:dyDescent="0.3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f t="array" ref="O847">_xlfn.IFS(orders[[#This Row],[Customer Gender]]="M","Male", orders[[#This Row],[Customer Gender]]="F","Female", orders[[#This Row],[Customer Gender]]="O","Other", TRUE,"Unknown")</f>
        <v>Female</v>
      </c>
    </row>
    <row r="848" spans="1:15" x14ac:dyDescent="0.3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f t="array" ref="O848">_xlfn.IFS(orders[[#This Row],[Customer Gender]]="M","Male", orders[[#This Row],[Customer Gender]]="F","Female", orders[[#This Row],[Customer Gender]]="O","Other", TRUE,"Unknown")</f>
        <v>Male</v>
      </c>
    </row>
    <row r="849" spans="1:15" x14ac:dyDescent="0.3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f t="array" ref="O849">_xlfn.IFS(orders[[#This Row],[Customer Gender]]="M","Male", orders[[#This Row],[Customer Gender]]="F","Female", orders[[#This Row],[Customer Gender]]="O","Other", TRUE,"Unknown")</f>
        <v>Female</v>
      </c>
    </row>
    <row r="850" spans="1:15" x14ac:dyDescent="0.3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f t="array" ref="O850">_xlfn.IFS(orders[[#This Row],[Customer Gender]]="M","Male", orders[[#This Row],[Customer Gender]]="F","Female", orders[[#This Row],[Customer Gender]]="O","Other", TRUE,"Unknown")</f>
        <v>Male</v>
      </c>
    </row>
    <row r="851" spans="1:15" x14ac:dyDescent="0.3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f t="array" ref="O851">_xlfn.IFS(orders[[#This Row],[Customer Gender]]="M","Male", orders[[#This Row],[Customer Gender]]="F","Female", orders[[#This Row],[Customer Gender]]="O","Other", TRUE,"Unknown")</f>
        <v>Female</v>
      </c>
    </row>
    <row r="852" spans="1:15" x14ac:dyDescent="0.3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f t="array" ref="O852">_xlfn.IFS(orders[[#This Row],[Customer Gender]]="M","Male", orders[[#This Row],[Customer Gender]]="F","Female", orders[[#This Row],[Customer Gender]]="O","Other", TRUE,"Unknown")</f>
        <v>Male</v>
      </c>
    </row>
    <row r="853" spans="1:15" x14ac:dyDescent="0.3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f t="array" ref="O853">_xlfn.IFS(orders[[#This Row],[Customer Gender]]="M","Male", orders[[#This Row],[Customer Gender]]="F","Female", orders[[#This Row],[Customer Gender]]="O","Other", TRUE,"Unknown")</f>
        <v>Female</v>
      </c>
    </row>
    <row r="854" spans="1:15" x14ac:dyDescent="0.3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f t="array" ref="O854">_xlfn.IFS(orders[[#This Row],[Customer Gender]]="M","Male", orders[[#This Row],[Customer Gender]]="F","Female", orders[[#This Row],[Customer Gender]]="O","Other", TRUE,"Unknown")</f>
        <v>Male</v>
      </c>
    </row>
    <row r="855" spans="1:15" x14ac:dyDescent="0.3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f t="array" ref="O855">_xlfn.IFS(orders[[#This Row],[Customer Gender]]="M","Male", orders[[#This Row],[Customer Gender]]="F","Female", orders[[#This Row],[Customer Gender]]="O","Other", TRUE,"Unknown")</f>
        <v>Female</v>
      </c>
    </row>
    <row r="856" spans="1:15" x14ac:dyDescent="0.3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f t="array" ref="O856">_xlfn.IFS(orders[[#This Row],[Customer Gender]]="M","Male", orders[[#This Row],[Customer Gender]]="F","Female", orders[[#This Row],[Customer Gender]]="O","Other", TRUE,"Unknown")</f>
        <v>Male</v>
      </c>
    </row>
    <row r="857" spans="1:15" x14ac:dyDescent="0.3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f t="array" ref="O857">_xlfn.IFS(orders[[#This Row],[Customer Gender]]="M","Male", orders[[#This Row],[Customer Gender]]="F","Female", orders[[#This Row],[Customer Gender]]="O","Other", TRUE,"Unknown")</f>
        <v>Unknown</v>
      </c>
    </row>
    <row r="858" spans="1:15" x14ac:dyDescent="0.3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f t="array" ref="O858">_xlfn.IFS(orders[[#This Row],[Customer Gender]]="M","Male", orders[[#This Row],[Customer Gender]]="F","Female", orders[[#This Row],[Customer Gender]]="O","Other", TRUE,"Unknown")</f>
        <v>Female</v>
      </c>
    </row>
    <row r="859" spans="1:15" x14ac:dyDescent="0.3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f t="array" ref="O859">_xlfn.IFS(orders[[#This Row],[Customer Gender]]="M","Male", orders[[#This Row],[Customer Gender]]="F","Female", orders[[#This Row],[Customer Gender]]="O","Other", TRUE,"Unknown")</f>
        <v>Female</v>
      </c>
    </row>
    <row r="860" spans="1:15" x14ac:dyDescent="0.3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f t="array" ref="O860">_xlfn.IFS(orders[[#This Row],[Customer Gender]]="M","Male", orders[[#This Row],[Customer Gender]]="F","Female", orders[[#This Row],[Customer Gender]]="O","Other", TRUE,"Unknown")</f>
        <v>Male</v>
      </c>
    </row>
    <row r="861" spans="1:15" x14ac:dyDescent="0.3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f t="array" ref="O861">_xlfn.IFS(orders[[#This Row],[Customer Gender]]="M","Male", orders[[#This Row],[Customer Gender]]="F","Female", orders[[#This Row],[Customer Gender]]="O","Other", TRUE,"Unknown")</f>
        <v>Female</v>
      </c>
    </row>
    <row r="862" spans="1:15" x14ac:dyDescent="0.3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f t="array" ref="O862">_xlfn.IFS(orders[[#This Row],[Customer Gender]]="M","Male", orders[[#This Row],[Customer Gender]]="F","Female", orders[[#This Row],[Customer Gender]]="O","Other", TRUE,"Unknown")</f>
        <v>Unknown</v>
      </c>
    </row>
    <row r="863" spans="1:15" x14ac:dyDescent="0.3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f t="array" ref="O863">_xlfn.IFS(orders[[#This Row],[Customer Gender]]="M","Male", orders[[#This Row],[Customer Gender]]="F","Female", orders[[#This Row],[Customer Gender]]="O","Other", TRUE,"Unknown")</f>
        <v>Male</v>
      </c>
    </row>
    <row r="864" spans="1:15" x14ac:dyDescent="0.3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f t="array" ref="O864">_xlfn.IFS(orders[[#This Row],[Customer Gender]]="M","Male", orders[[#This Row],[Customer Gender]]="F","Female", orders[[#This Row],[Customer Gender]]="O","Other", TRUE,"Unknown")</f>
        <v>Male</v>
      </c>
    </row>
    <row r="865" spans="1:15" x14ac:dyDescent="0.3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f t="array" ref="O865">_xlfn.IFS(orders[[#This Row],[Customer Gender]]="M","Male", orders[[#This Row],[Customer Gender]]="F","Female", orders[[#This Row],[Customer Gender]]="O","Other", TRUE,"Unknown")</f>
        <v>Female</v>
      </c>
    </row>
    <row r="866" spans="1:15" x14ac:dyDescent="0.3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f t="array" ref="O866">_xlfn.IFS(orders[[#This Row],[Customer Gender]]="M","Male", orders[[#This Row],[Customer Gender]]="F","Female", orders[[#This Row],[Customer Gender]]="O","Other", TRUE,"Unknown")</f>
        <v>Female</v>
      </c>
    </row>
    <row r="867" spans="1:15" x14ac:dyDescent="0.3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f t="array" ref="O867">_xlfn.IFS(orders[[#This Row],[Customer Gender]]="M","Male", orders[[#This Row],[Customer Gender]]="F","Female", orders[[#This Row],[Customer Gender]]="O","Other", TRUE,"Unknown")</f>
        <v>Female</v>
      </c>
    </row>
    <row r="868" spans="1:15" x14ac:dyDescent="0.3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f t="array" ref="O868">_xlfn.IFS(orders[[#This Row],[Customer Gender]]="M","Male", orders[[#This Row],[Customer Gender]]="F","Female", orders[[#This Row],[Customer Gender]]="O","Other", TRUE,"Unknown")</f>
        <v>Male</v>
      </c>
    </row>
    <row r="869" spans="1:15" x14ac:dyDescent="0.3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f t="array" ref="O869">_xlfn.IFS(orders[[#This Row],[Customer Gender]]="M","Male", orders[[#This Row],[Customer Gender]]="F","Female", orders[[#This Row],[Customer Gender]]="O","Other", TRUE,"Unknown")</f>
        <v>Female</v>
      </c>
    </row>
    <row r="870" spans="1:15" x14ac:dyDescent="0.3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f t="array" ref="O870">_xlfn.IFS(orders[[#This Row],[Customer Gender]]="M","Male", orders[[#This Row],[Customer Gender]]="F","Female", orders[[#This Row],[Customer Gender]]="O","Other", TRUE,"Unknown")</f>
        <v>Male</v>
      </c>
    </row>
    <row r="871" spans="1:15" x14ac:dyDescent="0.3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f t="array" ref="O871">_xlfn.IFS(orders[[#This Row],[Customer Gender]]="M","Male", orders[[#This Row],[Customer Gender]]="F","Female", orders[[#This Row],[Customer Gender]]="O","Other", TRUE,"Unknown")</f>
        <v>Female</v>
      </c>
    </row>
    <row r="872" spans="1:15" x14ac:dyDescent="0.3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f t="array" ref="O872">_xlfn.IFS(orders[[#This Row],[Customer Gender]]="M","Male", orders[[#This Row],[Customer Gender]]="F","Female", orders[[#This Row],[Customer Gender]]="O","Other", TRUE,"Unknown")</f>
        <v>Male</v>
      </c>
    </row>
    <row r="873" spans="1:15" x14ac:dyDescent="0.3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f t="array" ref="O873">_xlfn.IFS(orders[[#This Row],[Customer Gender]]="M","Male", orders[[#This Row],[Customer Gender]]="F","Female", orders[[#This Row],[Customer Gender]]="O","Other", TRUE,"Unknown")</f>
        <v>Female</v>
      </c>
    </row>
    <row r="874" spans="1:15" x14ac:dyDescent="0.3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f t="array" ref="O874">_xlfn.IFS(orders[[#This Row],[Customer Gender]]="M","Male", orders[[#This Row],[Customer Gender]]="F","Female", orders[[#This Row],[Customer Gender]]="O","Other", TRUE,"Unknown")</f>
        <v>Female</v>
      </c>
    </row>
    <row r="875" spans="1:15" x14ac:dyDescent="0.3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f t="array" ref="O875">_xlfn.IFS(orders[[#This Row],[Customer Gender]]="M","Male", orders[[#This Row],[Customer Gender]]="F","Female", orders[[#This Row],[Customer Gender]]="O","Other", TRUE,"Unknown")</f>
        <v>Female</v>
      </c>
    </row>
    <row r="876" spans="1:15" x14ac:dyDescent="0.3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f t="array" ref="O876">_xlfn.IFS(orders[[#This Row],[Customer Gender]]="M","Male", orders[[#This Row],[Customer Gender]]="F","Female", orders[[#This Row],[Customer Gender]]="O","Other", TRUE,"Unknown")</f>
        <v>Female</v>
      </c>
    </row>
    <row r="877" spans="1:15" x14ac:dyDescent="0.3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f t="array" ref="O877">_xlfn.IFS(orders[[#This Row],[Customer Gender]]="M","Male", orders[[#This Row],[Customer Gender]]="F","Female", orders[[#This Row],[Customer Gender]]="O","Other", TRUE,"Unknown")</f>
        <v>Female</v>
      </c>
    </row>
    <row r="878" spans="1:15" x14ac:dyDescent="0.3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f t="array" ref="O878">_xlfn.IFS(orders[[#This Row],[Customer Gender]]="M","Male", orders[[#This Row],[Customer Gender]]="F","Female", orders[[#This Row],[Customer Gender]]="O","Other", TRUE,"Unknown")</f>
        <v>Male</v>
      </c>
    </row>
    <row r="879" spans="1:15" x14ac:dyDescent="0.3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f t="array" ref="O879">_xlfn.IFS(orders[[#This Row],[Customer Gender]]="M","Male", orders[[#This Row],[Customer Gender]]="F","Female", orders[[#This Row],[Customer Gender]]="O","Other", TRUE,"Unknown")</f>
        <v>Female</v>
      </c>
    </row>
    <row r="880" spans="1:15" x14ac:dyDescent="0.3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f t="array" ref="O880">_xlfn.IFS(orders[[#This Row],[Customer Gender]]="M","Male", orders[[#This Row],[Customer Gender]]="F","Female", orders[[#This Row],[Customer Gender]]="O","Other", TRUE,"Unknown")</f>
        <v>Male</v>
      </c>
    </row>
    <row r="881" spans="1:15" x14ac:dyDescent="0.3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f t="array" ref="O881">_xlfn.IFS(orders[[#This Row],[Customer Gender]]="M","Male", orders[[#This Row],[Customer Gender]]="F","Female", orders[[#This Row],[Customer Gender]]="O","Other", TRUE,"Unknown")</f>
        <v>Female</v>
      </c>
    </row>
    <row r="882" spans="1:15" x14ac:dyDescent="0.3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f t="array" ref="O882">_xlfn.IFS(orders[[#This Row],[Customer Gender]]="M","Male", orders[[#This Row],[Customer Gender]]="F","Female", orders[[#This Row],[Customer Gender]]="O","Other", TRUE,"Unknown")</f>
        <v>Female</v>
      </c>
    </row>
    <row r="883" spans="1:15" x14ac:dyDescent="0.3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f t="array" ref="O883">_xlfn.IFS(orders[[#This Row],[Customer Gender]]="M","Male", orders[[#This Row],[Customer Gender]]="F","Female", orders[[#This Row],[Customer Gender]]="O","Other", TRUE,"Unknown")</f>
        <v>Female</v>
      </c>
    </row>
    <row r="884" spans="1:15" x14ac:dyDescent="0.3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f t="array" ref="O884">_xlfn.IFS(orders[[#This Row],[Customer Gender]]="M","Male", orders[[#This Row],[Customer Gender]]="F","Female", orders[[#This Row],[Customer Gender]]="O","Other", TRUE,"Unknown")</f>
        <v>Female</v>
      </c>
    </row>
    <row r="885" spans="1:15" x14ac:dyDescent="0.3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f t="array" ref="O885">_xlfn.IFS(orders[[#This Row],[Customer Gender]]="M","Male", orders[[#This Row],[Customer Gender]]="F","Female", orders[[#This Row],[Customer Gender]]="O","Other", TRUE,"Unknown")</f>
        <v>Male</v>
      </c>
    </row>
    <row r="886" spans="1:15" x14ac:dyDescent="0.3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f t="array" ref="O886">_xlfn.IFS(orders[[#This Row],[Customer Gender]]="M","Male", orders[[#This Row],[Customer Gender]]="F","Female", orders[[#This Row],[Customer Gender]]="O","Other", TRUE,"Unknown")</f>
        <v>Female</v>
      </c>
    </row>
    <row r="887" spans="1:15" x14ac:dyDescent="0.3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f t="array" ref="O887">_xlfn.IFS(orders[[#This Row],[Customer Gender]]="M","Male", orders[[#This Row],[Customer Gender]]="F","Female", orders[[#This Row],[Customer Gender]]="O","Other", TRUE,"Unknown")</f>
        <v>Male</v>
      </c>
    </row>
    <row r="888" spans="1:15" x14ac:dyDescent="0.3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f t="array" ref="O888">_xlfn.IFS(orders[[#This Row],[Customer Gender]]="M","Male", orders[[#This Row],[Customer Gender]]="F","Female", orders[[#This Row],[Customer Gender]]="O","Other", TRUE,"Unknown")</f>
        <v>Male</v>
      </c>
    </row>
    <row r="889" spans="1:15" x14ac:dyDescent="0.3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f t="array" ref="O889">_xlfn.IFS(orders[[#This Row],[Customer Gender]]="M","Male", orders[[#This Row],[Customer Gender]]="F","Female", orders[[#This Row],[Customer Gender]]="O","Other", TRUE,"Unknown")</f>
        <v>Female</v>
      </c>
    </row>
    <row r="890" spans="1:15" x14ac:dyDescent="0.3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f t="array" ref="O890">_xlfn.IFS(orders[[#This Row],[Customer Gender]]="M","Male", orders[[#This Row],[Customer Gender]]="F","Female", orders[[#This Row],[Customer Gender]]="O","Other", TRUE,"Unknown")</f>
        <v>Female</v>
      </c>
    </row>
    <row r="891" spans="1:15" x14ac:dyDescent="0.3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f t="array" ref="O891">_xlfn.IFS(orders[[#This Row],[Customer Gender]]="M","Male", orders[[#This Row],[Customer Gender]]="F","Female", orders[[#This Row],[Customer Gender]]="O","Other", TRUE,"Unknown")</f>
        <v>Female</v>
      </c>
    </row>
    <row r="892" spans="1:15" x14ac:dyDescent="0.3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f t="array" ref="O892">_xlfn.IFS(orders[[#This Row],[Customer Gender]]="M","Male", orders[[#This Row],[Customer Gender]]="F","Female", orders[[#This Row],[Customer Gender]]="O","Other", TRUE,"Unknown")</f>
        <v>Female</v>
      </c>
    </row>
    <row r="893" spans="1:15" x14ac:dyDescent="0.3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f t="array" ref="O893">_xlfn.IFS(orders[[#This Row],[Customer Gender]]="M","Male", orders[[#This Row],[Customer Gender]]="F","Female", orders[[#This Row],[Customer Gender]]="O","Other", TRUE,"Unknown")</f>
        <v>Male</v>
      </c>
    </row>
    <row r="894" spans="1:15" x14ac:dyDescent="0.3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f t="array" ref="O894">_xlfn.IFS(orders[[#This Row],[Customer Gender]]="M","Male", orders[[#This Row],[Customer Gender]]="F","Female", orders[[#This Row],[Customer Gender]]="O","Other", TRUE,"Unknown")</f>
        <v>Male</v>
      </c>
    </row>
    <row r="895" spans="1:15" x14ac:dyDescent="0.3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f t="array" ref="O895">_xlfn.IFS(orders[[#This Row],[Customer Gender]]="M","Male", orders[[#This Row],[Customer Gender]]="F","Female", orders[[#This Row],[Customer Gender]]="O","Other", TRUE,"Unknown")</f>
        <v>Female</v>
      </c>
    </row>
    <row r="896" spans="1:15" x14ac:dyDescent="0.3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f t="array" ref="O896">_xlfn.IFS(orders[[#This Row],[Customer Gender]]="M","Male", orders[[#This Row],[Customer Gender]]="F","Female", orders[[#This Row],[Customer Gender]]="O","Other", TRUE,"Unknown")</f>
        <v>Female</v>
      </c>
    </row>
    <row r="897" spans="1:15" x14ac:dyDescent="0.3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f t="array" ref="O897">_xlfn.IFS(orders[[#This Row],[Customer Gender]]="M","Male", orders[[#This Row],[Customer Gender]]="F","Female", orders[[#This Row],[Customer Gender]]="O","Other", TRUE,"Unknown")</f>
        <v>Female</v>
      </c>
    </row>
    <row r="898" spans="1:15" x14ac:dyDescent="0.3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f t="array" ref="O898">_xlfn.IFS(orders[[#This Row],[Customer Gender]]="M","Male", orders[[#This Row],[Customer Gender]]="F","Female", orders[[#This Row],[Customer Gender]]="O","Other", TRUE,"Unknown")</f>
        <v>Female</v>
      </c>
    </row>
    <row r="899" spans="1:15" x14ac:dyDescent="0.3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f t="array" ref="O899">_xlfn.IFS(orders[[#This Row],[Customer Gender]]="M","Male", orders[[#This Row],[Customer Gender]]="F","Female", orders[[#This Row],[Customer Gender]]="O","Other", TRUE,"Unknown")</f>
        <v>Female</v>
      </c>
    </row>
    <row r="900" spans="1:15" x14ac:dyDescent="0.3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f t="array" ref="O900">_xlfn.IFS(orders[[#This Row],[Customer Gender]]="M","Male", orders[[#This Row],[Customer Gender]]="F","Female", orders[[#This Row],[Customer Gender]]="O","Other", TRUE,"Unknown")</f>
        <v>Female</v>
      </c>
    </row>
    <row r="901" spans="1:15" x14ac:dyDescent="0.3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f t="array" ref="O901">_xlfn.IFS(orders[[#This Row],[Customer Gender]]="M","Male", orders[[#This Row],[Customer Gender]]="F","Female", orders[[#This Row],[Customer Gender]]="O","Other", TRUE,"Unknown")</f>
        <v>Unknown</v>
      </c>
    </row>
    <row r="902" spans="1:15" x14ac:dyDescent="0.3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f t="array" ref="O902">_xlfn.IFS(orders[[#This Row],[Customer Gender]]="M","Male", orders[[#This Row],[Customer Gender]]="F","Female", orders[[#This Row],[Customer Gender]]="O","Other", TRUE,"Unknown")</f>
        <v>Female</v>
      </c>
    </row>
    <row r="903" spans="1:15" x14ac:dyDescent="0.3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f t="array" ref="O903">_xlfn.IFS(orders[[#This Row],[Customer Gender]]="M","Male", orders[[#This Row],[Customer Gender]]="F","Female", orders[[#This Row],[Customer Gender]]="O","Other", TRUE,"Unknown")</f>
        <v>Female</v>
      </c>
    </row>
    <row r="904" spans="1:15" x14ac:dyDescent="0.3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f t="array" ref="O904">_xlfn.IFS(orders[[#This Row],[Customer Gender]]="M","Male", orders[[#This Row],[Customer Gender]]="F","Female", orders[[#This Row],[Customer Gender]]="O","Other", TRUE,"Unknown")</f>
        <v>Male</v>
      </c>
    </row>
    <row r="905" spans="1:15" x14ac:dyDescent="0.3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f t="array" ref="O905">_xlfn.IFS(orders[[#This Row],[Customer Gender]]="M","Male", orders[[#This Row],[Customer Gender]]="F","Female", orders[[#This Row],[Customer Gender]]="O","Other", TRUE,"Unknown")</f>
        <v>Female</v>
      </c>
    </row>
    <row r="906" spans="1:15" x14ac:dyDescent="0.3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f t="array" ref="O906">_xlfn.IFS(orders[[#This Row],[Customer Gender]]="M","Male", orders[[#This Row],[Customer Gender]]="F","Female", orders[[#This Row],[Customer Gender]]="O","Other", TRUE,"Unknown")</f>
        <v>Other</v>
      </c>
    </row>
    <row r="907" spans="1:15" x14ac:dyDescent="0.3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f t="array" ref="O907">_xlfn.IFS(orders[[#This Row],[Customer Gender]]="M","Male", orders[[#This Row],[Customer Gender]]="F","Female", orders[[#This Row],[Customer Gender]]="O","Other", TRUE,"Unknown")</f>
        <v>Unknown</v>
      </c>
    </row>
    <row r="908" spans="1:15" x14ac:dyDescent="0.3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f t="array" ref="O908">_xlfn.IFS(orders[[#This Row],[Customer Gender]]="M","Male", orders[[#This Row],[Customer Gender]]="F","Female", orders[[#This Row],[Customer Gender]]="O","Other", TRUE,"Unknown")</f>
        <v>Female</v>
      </c>
    </row>
    <row r="909" spans="1:15" x14ac:dyDescent="0.3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f t="array" ref="O909">_xlfn.IFS(orders[[#This Row],[Customer Gender]]="M","Male", orders[[#This Row],[Customer Gender]]="F","Female", orders[[#This Row],[Customer Gender]]="O","Other", TRUE,"Unknown")</f>
        <v>Male</v>
      </c>
    </row>
    <row r="910" spans="1:15" x14ac:dyDescent="0.3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f t="array" ref="O910">_xlfn.IFS(orders[[#This Row],[Customer Gender]]="M","Male", orders[[#This Row],[Customer Gender]]="F","Female", orders[[#This Row],[Customer Gender]]="O","Other", TRUE,"Unknown")</f>
        <v>Male</v>
      </c>
    </row>
    <row r="911" spans="1:15" x14ac:dyDescent="0.3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f t="array" ref="O911">_xlfn.IFS(orders[[#This Row],[Customer Gender]]="M","Male", orders[[#This Row],[Customer Gender]]="F","Female", orders[[#This Row],[Customer Gender]]="O","Other", TRUE,"Unknown")</f>
        <v>Unknown</v>
      </c>
    </row>
    <row r="912" spans="1:15" x14ac:dyDescent="0.3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f t="array" ref="O912">_xlfn.IFS(orders[[#This Row],[Customer Gender]]="M","Male", orders[[#This Row],[Customer Gender]]="F","Female", orders[[#This Row],[Customer Gender]]="O","Other", TRUE,"Unknown")</f>
        <v>Male</v>
      </c>
    </row>
    <row r="913" spans="1:15" x14ac:dyDescent="0.3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f t="array" ref="O913">_xlfn.IFS(orders[[#This Row],[Customer Gender]]="M","Male", orders[[#This Row],[Customer Gender]]="F","Female", orders[[#This Row],[Customer Gender]]="O","Other", TRUE,"Unknown")</f>
        <v>Male</v>
      </c>
    </row>
    <row r="914" spans="1:15" x14ac:dyDescent="0.3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f t="array" ref="O914">_xlfn.IFS(orders[[#This Row],[Customer Gender]]="M","Male", orders[[#This Row],[Customer Gender]]="F","Female", orders[[#This Row],[Customer Gender]]="O","Other", TRUE,"Unknown")</f>
        <v>Male</v>
      </c>
    </row>
    <row r="915" spans="1:15" x14ac:dyDescent="0.3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f t="array" ref="O915">_xlfn.IFS(orders[[#This Row],[Customer Gender]]="M","Male", orders[[#This Row],[Customer Gender]]="F","Female", orders[[#This Row],[Customer Gender]]="O","Other", TRUE,"Unknown")</f>
        <v>Unknown</v>
      </c>
    </row>
    <row r="916" spans="1:15" x14ac:dyDescent="0.3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f t="array" ref="O916">_xlfn.IFS(orders[[#This Row],[Customer Gender]]="M","Male", orders[[#This Row],[Customer Gender]]="F","Female", orders[[#This Row],[Customer Gender]]="O","Other", TRUE,"Unknown")</f>
        <v>Female</v>
      </c>
    </row>
    <row r="917" spans="1:15" x14ac:dyDescent="0.3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f t="array" ref="O917">_xlfn.IFS(orders[[#This Row],[Customer Gender]]="M","Male", orders[[#This Row],[Customer Gender]]="F","Female", orders[[#This Row],[Customer Gender]]="O","Other", TRUE,"Unknown")</f>
        <v>Female</v>
      </c>
    </row>
    <row r="918" spans="1:15" x14ac:dyDescent="0.3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f t="array" ref="O918">_xlfn.IFS(orders[[#This Row],[Customer Gender]]="M","Male", orders[[#This Row],[Customer Gender]]="F","Female", orders[[#This Row],[Customer Gender]]="O","Other", TRUE,"Unknown")</f>
        <v>Male</v>
      </c>
    </row>
    <row r="919" spans="1:15" x14ac:dyDescent="0.3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f t="array" ref="O919">_xlfn.IFS(orders[[#This Row],[Customer Gender]]="M","Male", orders[[#This Row],[Customer Gender]]="F","Female", orders[[#This Row],[Customer Gender]]="O","Other", TRUE,"Unknown")</f>
        <v>Female</v>
      </c>
    </row>
    <row r="920" spans="1:15" x14ac:dyDescent="0.3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f t="array" ref="O920">_xlfn.IFS(orders[[#This Row],[Customer Gender]]="M","Male", orders[[#This Row],[Customer Gender]]="F","Female", orders[[#This Row],[Customer Gender]]="O","Other", TRUE,"Unknown")</f>
        <v>Male</v>
      </c>
    </row>
    <row r="921" spans="1:15" x14ac:dyDescent="0.3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f t="array" ref="O921">_xlfn.IFS(orders[[#This Row],[Customer Gender]]="M","Male", orders[[#This Row],[Customer Gender]]="F","Female", orders[[#This Row],[Customer Gender]]="O","Other", TRUE,"Unknown")</f>
        <v>Female</v>
      </c>
    </row>
    <row r="922" spans="1:15" x14ac:dyDescent="0.3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f t="array" ref="O922">_xlfn.IFS(orders[[#This Row],[Customer Gender]]="M","Male", orders[[#This Row],[Customer Gender]]="F","Female", orders[[#This Row],[Customer Gender]]="O","Other", TRUE,"Unknown")</f>
        <v>Unknown</v>
      </c>
    </row>
    <row r="923" spans="1:15" x14ac:dyDescent="0.3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f t="array" ref="O923">_xlfn.IFS(orders[[#This Row],[Customer Gender]]="M","Male", orders[[#This Row],[Customer Gender]]="F","Female", orders[[#This Row],[Customer Gender]]="O","Other", TRUE,"Unknown")</f>
        <v>Other</v>
      </c>
    </row>
    <row r="924" spans="1:15" x14ac:dyDescent="0.3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f t="array" ref="O924">_xlfn.IFS(orders[[#This Row],[Customer Gender]]="M","Male", orders[[#This Row],[Customer Gender]]="F","Female", orders[[#This Row],[Customer Gender]]="O","Other", TRUE,"Unknown")</f>
        <v>Female</v>
      </c>
    </row>
    <row r="925" spans="1:15" x14ac:dyDescent="0.3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f t="array" ref="O925">_xlfn.IFS(orders[[#This Row],[Customer Gender]]="M","Male", orders[[#This Row],[Customer Gender]]="F","Female", orders[[#This Row],[Customer Gender]]="O","Other", TRUE,"Unknown")</f>
        <v>Female</v>
      </c>
    </row>
    <row r="926" spans="1:15" x14ac:dyDescent="0.3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f t="array" ref="O926">_xlfn.IFS(orders[[#This Row],[Customer Gender]]="M","Male", orders[[#This Row],[Customer Gender]]="F","Female", orders[[#This Row],[Customer Gender]]="O","Other", TRUE,"Unknown")</f>
        <v>Male</v>
      </c>
    </row>
    <row r="927" spans="1:15" x14ac:dyDescent="0.3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f t="array" ref="O927">_xlfn.IFS(orders[[#This Row],[Customer Gender]]="M","Male", orders[[#This Row],[Customer Gender]]="F","Female", orders[[#This Row],[Customer Gender]]="O","Other", TRUE,"Unknown")</f>
        <v>Unknown</v>
      </c>
    </row>
    <row r="928" spans="1:15" x14ac:dyDescent="0.3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f t="array" ref="O928">_xlfn.IFS(orders[[#This Row],[Customer Gender]]="M","Male", orders[[#This Row],[Customer Gender]]="F","Female", orders[[#This Row],[Customer Gender]]="O","Other", TRUE,"Unknown")</f>
        <v>Female</v>
      </c>
    </row>
    <row r="929" spans="1:15" x14ac:dyDescent="0.3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f t="array" ref="O929">_xlfn.IFS(orders[[#This Row],[Customer Gender]]="M","Male", orders[[#This Row],[Customer Gender]]="F","Female", orders[[#This Row],[Customer Gender]]="O","Other", TRUE,"Unknown")</f>
        <v>Female</v>
      </c>
    </row>
    <row r="930" spans="1:15" x14ac:dyDescent="0.3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f t="array" ref="O930">_xlfn.IFS(orders[[#This Row],[Customer Gender]]="M","Male", orders[[#This Row],[Customer Gender]]="F","Female", orders[[#This Row],[Customer Gender]]="O","Other", TRUE,"Unknown")</f>
        <v>Female</v>
      </c>
    </row>
    <row r="931" spans="1:15" x14ac:dyDescent="0.3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f t="array" ref="O931">_xlfn.IFS(orders[[#This Row],[Customer Gender]]="M","Male", orders[[#This Row],[Customer Gender]]="F","Female", orders[[#This Row],[Customer Gender]]="O","Other", TRUE,"Unknown")</f>
        <v>Female</v>
      </c>
    </row>
    <row r="932" spans="1:15" x14ac:dyDescent="0.3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f t="array" ref="O932">_xlfn.IFS(orders[[#This Row],[Customer Gender]]="M","Male", orders[[#This Row],[Customer Gender]]="F","Female", orders[[#This Row],[Customer Gender]]="O","Other", TRUE,"Unknown")</f>
        <v>Female</v>
      </c>
    </row>
    <row r="933" spans="1:15" x14ac:dyDescent="0.3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f t="array" ref="O933">_xlfn.IFS(orders[[#This Row],[Customer Gender]]="M","Male", orders[[#This Row],[Customer Gender]]="F","Female", orders[[#This Row],[Customer Gender]]="O","Other", TRUE,"Unknown")</f>
        <v>Male</v>
      </c>
    </row>
    <row r="934" spans="1:15" x14ac:dyDescent="0.3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f t="array" ref="O934">_xlfn.IFS(orders[[#This Row],[Customer Gender]]="M","Male", orders[[#This Row],[Customer Gender]]="F","Female", orders[[#This Row],[Customer Gender]]="O","Other", TRUE,"Unknown")</f>
        <v>Female</v>
      </c>
    </row>
    <row r="935" spans="1:15" x14ac:dyDescent="0.3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f t="array" ref="O935">_xlfn.IFS(orders[[#This Row],[Customer Gender]]="M","Male", orders[[#This Row],[Customer Gender]]="F","Female", orders[[#This Row],[Customer Gender]]="O","Other", TRUE,"Unknown")</f>
        <v>Female</v>
      </c>
    </row>
    <row r="936" spans="1:15" x14ac:dyDescent="0.3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f t="array" ref="O936">_xlfn.IFS(orders[[#This Row],[Customer Gender]]="M","Male", orders[[#This Row],[Customer Gender]]="F","Female", orders[[#This Row],[Customer Gender]]="O","Other", TRUE,"Unknown")</f>
        <v>Male</v>
      </c>
    </row>
    <row r="937" spans="1:15" x14ac:dyDescent="0.3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f t="array" ref="O937">_xlfn.IFS(orders[[#This Row],[Customer Gender]]="M","Male", orders[[#This Row],[Customer Gender]]="F","Female", orders[[#This Row],[Customer Gender]]="O","Other", TRUE,"Unknown")</f>
        <v>Female</v>
      </c>
    </row>
    <row r="938" spans="1:15" x14ac:dyDescent="0.3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f t="array" ref="O938">_xlfn.IFS(orders[[#This Row],[Customer Gender]]="M","Male", orders[[#This Row],[Customer Gender]]="F","Female", orders[[#This Row],[Customer Gender]]="O","Other", TRUE,"Unknown")</f>
        <v>Male</v>
      </c>
    </row>
    <row r="939" spans="1:15" x14ac:dyDescent="0.3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f t="array" ref="O939">_xlfn.IFS(orders[[#This Row],[Customer Gender]]="M","Male", orders[[#This Row],[Customer Gender]]="F","Female", orders[[#This Row],[Customer Gender]]="O","Other", TRUE,"Unknown")</f>
        <v>Male</v>
      </c>
    </row>
    <row r="940" spans="1:15" x14ac:dyDescent="0.3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f t="array" ref="O940">_xlfn.IFS(orders[[#This Row],[Customer Gender]]="M","Male", orders[[#This Row],[Customer Gender]]="F","Female", orders[[#This Row],[Customer Gender]]="O","Other", TRUE,"Unknown")</f>
        <v>Female</v>
      </c>
    </row>
    <row r="941" spans="1:15" x14ac:dyDescent="0.3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f t="array" ref="O941">_xlfn.IFS(orders[[#This Row],[Customer Gender]]="M","Male", orders[[#This Row],[Customer Gender]]="F","Female", orders[[#This Row],[Customer Gender]]="O","Other", TRUE,"Unknown")</f>
        <v>Female</v>
      </c>
    </row>
    <row r="942" spans="1:15" x14ac:dyDescent="0.3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f t="array" ref="O942">_xlfn.IFS(orders[[#This Row],[Customer Gender]]="M","Male", orders[[#This Row],[Customer Gender]]="F","Female", orders[[#This Row],[Customer Gender]]="O","Other", TRUE,"Unknown")</f>
        <v>Male</v>
      </c>
    </row>
    <row r="943" spans="1:15" x14ac:dyDescent="0.3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f t="array" ref="O943">_xlfn.IFS(orders[[#This Row],[Customer Gender]]="M","Male", orders[[#This Row],[Customer Gender]]="F","Female", orders[[#This Row],[Customer Gender]]="O","Other", TRUE,"Unknown")</f>
        <v>Male</v>
      </c>
    </row>
    <row r="944" spans="1:15" x14ac:dyDescent="0.3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f t="array" ref="O944">_xlfn.IFS(orders[[#This Row],[Customer Gender]]="M","Male", orders[[#This Row],[Customer Gender]]="F","Female", orders[[#This Row],[Customer Gender]]="O","Other", TRUE,"Unknown")</f>
        <v>Unknown</v>
      </c>
    </row>
    <row r="945" spans="1:15" x14ac:dyDescent="0.3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f t="array" ref="O945">_xlfn.IFS(orders[[#This Row],[Customer Gender]]="M","Male", orders[[#This Row],[Customer Gender]]="F","Female", orders[[#This Row],[Customer Gender]]="O","Other", TRUE,"Unknown")</f>
        <v>Male</v>
      </c>
    </row>
    <row r="946" spans="1:15" x14ac:dyDescent="0.3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f t="array" ref="O946">_xlfn.IFS(orders[[#This Row],[Customer Gender]]="M","Male", orders[[#This Row],[Customer Gender]]="F","Female", orders[[#This Row],[Customer Gender]]="O","Other", TRUE,"Unknown")</f>
        <v>Male</v>
      </c>
    </row>
    <row r="947" spans="1:15" x14ac:dyDescent="0.3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f t="array" ref="O947">_xlfn.IFS(orders[[#This Row],[Customer Gender]]="M","Male", orders[[#This Row],[Customer Gender]]="F","Female", orders[[#This Row],[Customer Gender]]="O","Other", TRUE,"Unknown")</f>
        <v>Female</v>
      </c>
    </row>
    <row r="948" spans="1:15" x14ac:dyDescent="0.3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f t="array" ref="O948">_xlfn.IFS(orders[[#This Row],[Customer Gender]]="M","Male", orders[[#This Row],[Customer Gender]]="F","Female", orders[[#This Row],[Customer Gender]]="O","Other", TRUE,"Unknown")</f>
        <v>Female</v>
      </c>
    </row>
    <row r="949" spans="1:15" x14ac:dyDescent="0.3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f t="array" ref="O949">_xlfn.IFS(orders[[#This Row],[Customer Gender]]="M","Male", orders[[#This Row],[Customer Gender]]="F","Female", orders[[#This Row],[Customer Gender]]="O","Other", TRUE,"Unknown")</f>
        <v>Female</v>
      </c>
    </row>
    <row r="950" spans="1:15" x14ac:dyDescent="0.3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f t="array" ref="O950">_xlfn.IFS(orders[[#This Row],[Customer Gender]]="M","Male", orders[[#This Row],[Customer Gender]]="F","Female", orders[[#This Row],[Customer Gender]]="O","Other", TRUE,"Unknown")</f>
        <v>Female</v>
      </c>
    </row>
    <row r="951" spans="1:15" x14ac:dyDescent="0.3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f t="array" ref="O951">_xlfn.IFS(orders[[#This Row],[Customer Gender]]="M","Male", orders[[#This Row],[Customer Gender]]="F","Female", orders[[#This Row],[Customer Gender]]="O","Other", TRUE,"Unknown")</f>
        <v>Female</v>
      </c>
    </row>
    <row r="952" spans="1:15" x14ac:dyDescent="0.3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f t="array" ref="O952">_xlfn.IFS(orders[[#This Row],[Customer Gender]]="M","Male", orders[[#This Row],[Customer Gender]]="F","Female", orders[[#This Row],[Customer Gender]]="O","Other", TRUE,"Unknown")</f>
        <v>Male</v>
      </c>
    </row>
    <row r="953" spans="1:15" x14ac:dyDescent="0.3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f t="array" ref="O953">_xlfn.IFS(orders[[#This Row],[Customer Gender]]="M","Male", orders[[#This Row],[Customer Gender]]="F","Female", orders[[#This Row],[Customer Gender]]="O","Other", TRUE,"Unknown")</f>
        <v>Female</v>
      </c>
    </row>
    <row r="954" spans="1:15" x14ac:dyDescent="0.3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f t="array" ref="O954">_xlfn.IFS(orders[[#This Row],[Customer Gender]]="M","Male", orders[[#This Row],[Customer Gender]]="F","Female", orders[[#This Row],[Customer Gender]]="O","Other", TRUE,"Unknown")</f>
        <v>Male</v>
      </c>
    </row>
    <row r="955" spans="1:15" x14ac:dyDescent="0.3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f t="array" ref="O955">_xlfn.IFS(orders[[#This Row],[Customer Gender]]="M","Male", orders[[#This Row],[Customer Gender]]="F","Female", orders[[#This Row],[Customer Gender]]="O","Other", TRUE,"Unknown")</f>
        <v>Male</v>
      </c>
    </row>
    <row r="956" spans="1:15" x14ac:dyDescent="0.3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f t="array" ref="O956">_xlfn.IFS(orders[[#This Row],[Customer Gender]]="M","Male", orders[[#This Row],[Customer Gender]]="F","Female", orders[[#This Row],[Customer Gender]]="O","Other", TRUE,"Unknown")</f>
        <v>Male</v>
      </c>
    </row>
    <row r="957" spans="1:15" x14ac:dyDescent="0.3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f t="array" ref="O957">_xlfn.IFS(orders[[#This Row],[Customer Gender]]="M","Male", orders[[#This Row],[Customer Gender]]="F","Female", orders[[#This Row],[Customer Gender]]="O","Other", TRUE,"Unknown")</f>
        <v>Male</v>
      </c>
    </row>
    <row r="958" spans="1:15" x14ac:dyDescent="0.3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f t="array" ref="O958">_xlfn.IFS(orders[[#This Row],[Customer Gender]]="M","Male", orders[[#This Row],[Customer Gender]]="F","Female", orders[[#This Row],[Customer Gender]]="O","Other", TRUE,"Unknown")</f>
        <v>Male</v>
      </c>
    </row>
    <row r="959" spans="1:15" x14ac:dyDescent="0.3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f t="array" ref="O959">_xlfn.IFS(orders[[#This Row],[Customer Gender]]="M","Male", orders[[#This Row],[Customer Gender]]="F","Female", orders[[#This Row],[Customer Gender]]="O","Other", TRUE,"Unknown")</f>
        <v>Male</v>
      </c>
    </row>
    <row r="960" spans="1:15" x14ac:dyDescent="0.3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f t="array" ref="O960">_xlfn.IFS(orders[[#This Row],[Customer Gender]]="M","Male", orders[[#This Row],[Customer Gender]]="F","Female", orders[[#This Row],[Customer Gender]]="O","Other", TRUE,"Unknown")</f>
        <v>Female</v>
      </c>
    </row>
    <row r="961" spans="1:15" x14ac:dyDescent="0.3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f t="array" ref="O961">_xlfn.IFS(orders[[#This Row],[Customer Gender]]="M","Male", orders[[#This Row],[Customer Gender]]="F","Female", orders[[#This Row],[Customer Gender]]="O","Other", TRUE,"Unknown")</f>
        <v>Female</v>
      </c>
    </row>
    <row r="962" spans="1:15" x14ac:dyDescent="0.3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f t="array" ref="O962">_xlfn.IFS(orders[[#This Row],[Customer Gender]]="M","Male", orders[[#This Row],[Customer Gender]]="F","Female", orders[[#This Row],[Customer Gender]]="O","Other", TRUE,"Unknown")</f>
        <v>Female</v>
      </c>
    </row>
    <row r="963" spans="1:15" x14ac:dyDescent="0.3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f t="array" ref="O963">_xlfn.IFS(orders[[#This Row],[Customer Gender]]="M","Male", orders[[#This Row],[Customer Gender]]="F","Female", orders[[#This Row],[Customer Gender]]="O","Other", TRUE,"Unknown")</f>
        <v>Male</v>
      </c>
    </row>
    <row r="964" spans="1:15" x14ac:dyDescent="0.3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f t="array" ref="O964">_xlfn.IFS(orders[[#This Row],[Customer Gender]]="M","Male", orders[[#This Row],[Customer Gender]]="F","Female", orders[[#This Row],[Customer Gender]]="O","Other", TRUE,"Unknown")</f>
        <v>Female</v>
      </c>
    </row>
    <row r="965" spans="1:15" x14ac:dyDescent="0.3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f t="array" ref="O965">_xlfn.IFS(orders[[#This Row],[Customer Gender]]="M","Male", orders[[#This Row],[Customer Gender]]="F","Female", orders[[#This Row],[Customer Gender]]="O","Other", TRUE,"Unknown")</f>
        <v>Female</v>
      </c>
    </row>
    <row r="966" spans="1:15" x14ac:dyDescent="0.3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f t="array" ref="O966">_xlfn.IFS(orders[[#This Row],[Customer Gender]]="M","Male", orders[[#This Row],[Customer Gender]]="F","Female", orders[[#This Row],[Customer Gender]]="O","Other", TRUE,"Unknown")</f>
        <v>Female</v>
      </c>
    </row>
    <row r="967" spans="1:15" x14ac:dyDescent="0.3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f t="array" ref="O967">_xlfn.IFS(orders[[#This Row],[Customer Gender]]="M","Male", orders[[#This Row],[Customer Gender]]="F","Female", orders[[#This Row],[Customer Gender]]="O","Other", TRUE,"Unknown")</f>
        <v>Male</v>
      </c>
    </row>
    <row r="968" spans="1:15" x14ac:dyDescent="0.3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f t="array" ref="O968">_xlfn.IFS(orders[[#This Row],[Customer Gender]]="M","Male", orders[[#This Row],[Customer Gender]]="F","Female", orders[[#This Row],[Customer Gender]]="O","Other", TRUE,"Unknown")</f>
        <v>Male</v>
      </c>
    </row>
    <row r="969" spans="1:15" x14ac:dyDescent="0.3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f t="array" ref="O969">_xlfn.IFS(orders[[#This Row],[Customer Gender]]="M","Male", orders[[#This Row],[Customer Gender]]="F","Female", orders[[#This Row],[Customer Gender]]="O","Other", TRUE,"Unknown")</f>
        <v>Female</v>
      </c>
    </row>
    <row r="970" spans="1:15" x14ac:dyDescent="0.3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f t="array" ref="O970">_xlfn.IFS(orders[[#This Row],[Customer Gender]]="M","Male", orders[[#This Row],[Customer Gender]]="F","Female", orders[[#This Row],[Customer Gender]]="O","Other", TRUE,"Unknown")</f>
        <v>Male</v>
      </c>
    </row>
    <row r="971" spans="1:15" x14ac:dyDescent="0.3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f t="array" ref="O971">_xlfn.IFS(orders[[#This Row],[Customer Gender]]="M","Male", orders[[#This Row],[Customer Gender]]="F","Female", orders[[#This Row],[Customer Gender]]="O","Other", TRUE,"Unknown")</f>
        <v>Female</v>
      </c>
    </row>
    <row r="972" spans="1:15" x14ac:dyDescent="0.3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f t="array" ref="O972">_xlfn.IFS(orders[[#This Row],[Customer Gender]]="M","Male", orders[[#This Row],[Customer Gender]]="F","Female", orders[[#This Row],[Customer Gender]]="O","Other", TRUE,"Unknown")</f>
        <v>Female</v>
      </c>
    </row>
    <row r="973" spans="1:15" x14ac:dyDescent="0.3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f t="array" ref="O973">_xlfn.IFS(orders[[#This Row],[Customer Gender]]="M","Male", orders[[#This Row],[Customer Gender]]="F","Female", orders[[#This Row],[Customer Gender]]="O","Other", TRUE,"Unknown")</f>
        <v>Male</v>
      </c>
    </row>
    <row r="974" spans="1:15" x14ac:dyDescent="0.3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f t="array" ref="O974">_xlfn.IFS(orders[[#This Row],[Customer Gender]]="M","Male", orders[[#This Row],[Customer Gender]]="F","Female", orders[[#This Row],[Customer Gender]]="O","Other", TRUE,"Unknown")</f>
        <v>Female</v>
      </c>
    </row>
    <row r="975" spans="1:15" x14ac:dyDescent="0.3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f t="array" ref="O975">_xlfn.IFS(orders[[#This Row],[Customer Gender]]="M","Male", orders[[#This Row],[Customer Gender]]="F","Female", orders[[#This Row],[Customer Gender]]="O","Other", TRUE,"Unknown")</f>
        <v>Male</v>
      </c>
    </row>
    <row r="976" spans="1:15" x14ac:dyDescent="0.3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f t="array" ref="O976">_xlfn.IFS(orders[[#This Row],[Customer Gender]]="M","Male", orders[[#This Row],[Customer Gender]]="F","Female", orders[[#This Row],[Customer Gender]]="O","Other", TRUE,"Unknown")</f>
        <v>Female</v>
      </c>
    </row>
    <row r="977" spans="1:15" x14ac:dyDescent="0.3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f t="array" ref="O977">_xlfn.IFS(orders[[#This Row],[Customer Gender]]="M","Male", orders[[#This Row],[Customer Gender]]="F","Female", orders[[#This Row],[Customer Gender]]="O","Other", TRUE,"Unknown")</f>
        <v>Female</v>
      </c>
    </row>
    <row r="978" spans="1:15" x14ac:dyDescent="0.3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f t="array" ref="O978">_xlfn.IFS(orders[[#This Row],[Customer Gender]]="M","Male", orders[[#This Row],[Customer Gender]]="F","Female", orders[[#This Row],[Customer Gender]]="O","Other", TRUE,"Unknown")</f>
        <v>Female</v>
      </c>
    </row>
    <row r="979" spans="1:15" x14ac:dyDescent="0.3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f t="array" ref="O979">_xlfn.IFS(orders[[#This Row],[Customer Gender]]="M","Male", orders[[#This Row],[Customer Gender]]="F","Female", orders[[#This Row],[Customer Gender]]="O","Other", TRUE,"Unknown")</f>
        <v>Female</v>
      </c>
    </row>
    <row r="980" spans="1:15" x14ac:dyDescent="0.3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f t="array" ref="O980">_xlfn.IFS(orders[[#This Row],[Customer Gender]]="M","Male", orders[[#This Row],[Customer Gender]]="F","Female", orders[[#This Row],[Customer Gender]]="O","Other", TRUE,"Unknown")</f>
        <v>Female</v>
      </c>
    </row>
    <row r="981" spans="1:15" x14ac:dyDescent="0.3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f t="array" ref="O981">_xlfn.IFS(orders[[#This Row],[Customer Gender]]="M","Male", orders[[#This Row],[Customer Gender]]="F","Female", orders[[#This Row],[Customer Gender]]="O","Other", TRUE,"Unknown")</f>
        <v>Female</v>
      </c>
    </row>
    <row r="982" spans="1:15" x14ac:dyDescent="0.3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f t="array" ref="O982">_xlfn.IFS(orders[[#This Row],[Customer Gender]]="M","Male", orders[[#This Row],[Customer Gender]]="F","Female", orders[[#This Row],[Customer Gender]]="O","Other", TRUE,"Unknown")</f>
        <v>Male</v>
      </c>
    </row>
    <row r="983" spans="1:15" x14ac:dyDescent="0.3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f t="array" ref="O983">_xlfn.IFS(orders[[#This Row],[Customer Gender]]="M","Male", orders[[#This Row],[Customer Gender]]="F","Female", orders[[#This Row],[Customer Gender]]="O","Other", TRUE,"Unknown")</f>
        <v>Female</v>
      </c>
    </row>
    <row r="984" spans="1:15" x14ac:dyDescent="0.3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f t="array" ref="O984">_xlfn.IFS(orders[[#This Row],[Customer Gender]]="M","Male", orders[[#This Row],[Customer Gender]]="F","Female", orders[[#This Row],[Customer Gender]]="O","Other", TRUE,"Unknown")</f>
        <v>Female</v>
      </c>
    </row>
    <row r="985" spans="1:15" x14ac:dyDescent="0.3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f t="array" ref="O985">_xlfn.IFS(orders[[#This Row],[Customer Gender]]="M","Male", orders[[#This Row],[Customer Gender]]="F","Female", orders[[#This Row],[Customer Gender]]="O","Other", TRUE,"Unknown")</f>
        <v>Female</v>
      </c>
    </row>
    <row r="986" spans="1:15" x14ac:dyDescent="0.3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f t="array" ref="O986">_xlfn.IFS(orders[[#This Row],[Customer Gender]]="M","Male", orders[[#This Row],[Customer Gender]]="F","Female", orders[[#This Row],[Customer Gender]]="O","Other", TRUE,"Unknown")</f>
        <v>Male</v>
      </c>
    </row>
    <row r="987" spans="1:15" x14ac:dyDescent="0.3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f t="array" ref="O987">_xlfn.IFS(orders[[#This Row],[Customer Gender]]="M","Male", orders[[#This Row],[Customer Gender]]="F","Female", orders[[#This Row],[Customer Gender]]="O","Other", TRUE,"Unknown")</f>
        <v>Male</v>
      </c>
    </row>
    <row r="988" spans="1:15" x14ac:dyDescent="0.3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f t="array" ref="O988">_xlfn.IFS(orders[[#This Row],[Customer Gender]]="M","Male", orders[[#This Row],[Customer Gender]]="F","Female", orders[[#This Row],[Customer Gender]]="O","Other", TRUE,"Unknown")</f>
        <v>Unknown</v>
      </c>
    </row>
    <row r="989" spans="1:15" x14ac:dyDescent="0.3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f t="array" ref="O989">_xlfn.IFS(orders[[#This Row],[Customer Gender]]="M","Male", orders[[#This Row],[Customer Gender]]="F","Female", orders[[#This Row],[Customer Gender]]="O","Other", TRUE,"Unknown")</f>
        <v>Male</v>
      </c>
    </row>
    <row r="990" spans="1:15" x14ac:dyDescent="0.3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f t="array" ref="O990">_xlfn.IFS(orders[[#This Row],[Customer Gender]]="M","Male", orders[[#This Row],[Customer Gender]]="F","Female", orders[[#This Row],[Customer Gender]]="O","Other", TRUE,"Unknown")</f>
        <v>Female</v>
      </c>
    </row>
    <row r="991" spans="1:15" x14ac:dyDescent="0.3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f t="array" ref="O991">_xlfn.IFS(orders[[#This Row],[Customer Gender]]="M","Male", orders[[#This Row],[Customer Gender]]="F","Female", orders[[#This Row],[Customer Gender]]="O","Other", TRUE,"Unknown")</f>
        <v>Female</v>
      </c>
    </row>
    <row r="992" spans="1:15" x14ac:dyDescent="0.3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f t="array" ref="O992">_xlfn.IFS(orders[[#This Row],[Customer Gender]]="M","Male", orders[[#This Row],[Customer Gender]]="F","Female", orders[[#This Row],[Customer Gender]]="O","Other", TRUE,"Unknown")</f>
        <v>Unknown</v>
      </c>
    </row>
    <row r="993" spans="1:15" x14ac:dyDescent="0.3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f t="array" ref="O993">_xlfn.IFS(orders[[#This Row],[Customer Gender]]="M","Male", orders[[#This Row],[Customer Gender]]="F","Female", orders[[#This Row],[Customer Gender]]="O","Other", TRUE,"Unknown")</f>
        <v>Female</v>
      </c>
    </row>
    <row r="994" spans="1:15" x14ac:dyDescent="0.3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f t="array" ref="O994">_xlfn.IFS(orders[[#This Row],[Customer Gender]]="M","Male", orders[[#This Row],[Customer Gender]]="F","Female", orders[[#This Row],[Customer Gender]]="O","Other", TRUE,"Unknown")</f>
        <v>Other</v>
      </c>
    </row>
    <row r="995" spans="1:15" x14ac:dyDescent="0.3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f t="array" ref="O995">_xlfn.IFS(orders[[#This Row],[Customer Gender]]="M","Male", orders[[#This Row],[Customer Gender]]="F","Female", orders[[#This Row],[Customer Gender]]="O","Other", TRUE,"Unknown")</f>
        <v>Female</v>
      </c>
    </row>
    <row r="996" spans="1:15" x14ac:dyDescent="0.3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f t="array" ref="O996">_xlfn.IFS(orders[[#This Row],[Customer Gender]]="M","Male", orders[[#This Row],[Customer Gender]]="F","Female", orders[[#This Row],[Customer Gender]]="O","Other", TRUE,"Unknown")</f>
        <v>Female</v>
      </c>
    </row>
    <row r="997" spans="1:15" x14ac:dyDescent="0.3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f t="array" ref="O997">_xlfn.IFS(orders[[#This Row],[Customer Gender]]="M","Male", orders[[#This Row],[Customer Gender]]="F","Female", orders[[#This Row],[Customer Gender]]="O","Other", TRUE,"Unknown")</f>
        <v>Female</v>
      </c>
    </row>
    <row r="998" spans="1:15" x14ac:dyDescent="0.3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f t="array" ref="O998">_xlfn.IFS(orders[[#This Row],[Customer Gender]]="M","Male", orders[[#This Row],[Customer Gender]]="F","Female", orders[[#This Row],[Customer Gender]]="O","Other", TRUE,"Unknown")</f>
        <v>Female</v>
      </c>
    </row>
    <row r="999" spans="1:15" x14ac:dyDescent="0.3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f t="array" ref="O999">_xlfn.IFS(orders[[#This Row],[Customer Gender]]="M","Male", orders[[#This Row],[Customer Gender]]="F","Female", orders[[#This Row],[Customer Gender]]="O","Other", TRUE,"Unknown")</f>
        <v>Female</v>
      </c>
    </row>
    <row r="1000" spans="1:15" x14ac:dyDescent="0.3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f t="array" ref="O1000">_xlfn.IFS(orders[[#This Row],[Customer Gender]]="M","Male", orders[[#This Row],[Customer Gender]]="F","Female", orders[[#This Row],[Customer Gender]]="O","Other", TRUE,"Unknown")</f>
        <v>Female</v>
      </c>
    </row>
    <row r="1001" spans="1:15" x14ac:dyDescent="0.3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f t="array" ref="O1001">_xlfn.IFS(orders[[#This Row],[Customer Gender]]="M","Male", orders[[#This Row],[Customer Gender]]="F","Female", orders[[#This Row],[Customer Gender]]="O","Other", TRUE,"Unknown")</f>
        <v>Female</v>
      </c>
    </row>
    <row r="1002" spans="1:15" x14ac:dyDescent="0.3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f t="array" ref="O1002">_xlfn.IFS(orders[[#This Row],[Customer Gender]]="M","Male", orders[[#This Row],[Customer Gender]]="F","Female", orders[[#This Row],[Customer Gender]]="O","Other", TRUE,"Unknown")</f>
        <v>Female</v>
      </c>
    </row>
    <row r="1003" spans="1:15" x14ac:dyDescent="0.3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f t="array" ref="O1003">_xlfn.IFS(orders[[#This Row],[Customer Gender]]="M","Male", orders[[#This Row],[Customer Gender]]="F","Female", orders[[#This Row],[Customer Gender]]="O","Other", TRUE,"Unknown")</f>
        <v>Female</v>
      </c>
    </row>
    <row r="1004" spans="1:15" x14ac:dyDescent="0.3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f t="array" ref="O1004">_xlfn.IFS(orders[[#This Row],[Customer Gender]]="M","Male", orders[[#This Row],[Customer Gender]]="F","Female", orders[[#This Row],[Customer Gender]]="O","Other", TRUE,"Unknown")</f>
        <v>Female</v>
      </c>
    </row>
    <row r="1005" spans="1:15" x14ac:dyDescent="0.3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f t="array" ref="O1005">_xlfn.IFS(orders[[#This Row],[Customer Gender]]="M","Male", orders[[#This Row],[Customer Gender]]="F","Female", orders[[#This Row],[Customer Gender]]="O","Other", TRUE,"Unknown")</f>
        <v>Male</v>
      </c>
    </row>
    <row r="1006" spans="1:15" x14ac:dyDescent="0.3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f t="array" ref="O1006">_xlfn.IFS(orders[[#This Row],[Customer Gender]]="M","Male", orders[[#This Row],[Customer Gender]]="F","Female", orders[[#This Row],[Customer Gender]]="O","Other", TRUE,"Unknown")</f>
        <v>Male</v>
      </c>
    </row>
    <row r="1007" spans="1:15" x14ac:dyDescent="0.3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f t="array" ref="O1007">_xlfn.IFS(orders[[#This Row],[Customer Gender]]="M","Male", orders[[#This Row],[Customer Gender]]="F","Female", orders[[#This Row],[Customer Gender]]="O","Other", TRUE,"Unknown")</f>
        <v>Female</v>
      </c>
    </row>
    <row r="1008" spans="1:15" x14ac:dyDescent="0.3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f t="array" ref="O1008">_xlfn.IFS(orders[[#This Row],[Customer Gender]]="M","Male", orders[[#This Row],[Customer Gender]]="F","Female", orders[[#This Row],[Customer Gender]]="O","Other", TRUE,"Unknown")</f>
        <v>Female</v>
      </c>
    </row>
    <row r="1009" spans="1:15" x14ac:dyDescent="0.3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f t="array" ref="O1009">_xlfn.IFS(orders[[#This Row],[Customer Gender]]="M","Male", orders[[#This Row],[Customer Gender]]="F","Female", orders[[#This Row],[Customer Gender]]="O","Other", TRUE,"Unknown")</f>
        <v>Unknown</v>
      </c>
    </row>
    <row r="1010" spans="1:15" x14ac:dyDescent="0.3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f t="array" ref="O1010">_xlfn.IFS(orders[[#This Row],[Customer Gender]]="M","Male", orders[[#This Row],[Customer Gender]]="F","Female", orders[[#This Row],[Customer Gender]]="O","Other", TRUE,"Unknown")</f>
        <v>Female</v>
      </c>
    </row>
    <row r="1011" spans="1:15" x14ac:dyDescent="0.3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f t="array" ref="O1011">_xlfn.IFS(orders[[#This Row],[Customer Gender]]="M","Male", orders[[#This Row],[Customer Gender]]="F","Female", orders[[#This Row],[Customer Gender]]="O","Other", TRUE,"Unknown")</f>
        <v>Other</v>
      </c>
    </row>
    <row r="1012" spans="1:15" x14ac:dyDescent="0.3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f t="array" ref="O1012">_xlfn.IFS(orders[[#This Row],[Customer Gender]]="M","Male", orders[[#This Row],[Customer Gender]]="F","Female", orders[[#This Row],[Customer Gender]]="O","Other", TRUE,"Unknown")</f>
        <v>Female</v>
      </c>
    </row>
    <row r="1013" spans="1:15" x14ac:dyDescent="0.3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f t="array" ref="O1013">_xlfn.IFS(orders[[#This Row],[Customer Gender]]="M","Male", orders[[#This Row],[Customer Gender]]="F","Female", orders[[#This Row],[Customer Gender]]="O","Other", TRUE,"Unknown")</f>
        <v>Other</v>
      </c>
    </row>
    <row r="1014" spans="1:15" x14ac:dyDescent="0.3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f t="array" ref="O1014">_xlfn.IFS(orders[[#This Row],[Customer Gender]]="M","Male", orders[[#This Row],[Customer Gender]]="F","Female", orders[[#This Row],[Customer Gender]]="O","Other", TRUE,"Unknown")</f>
        <v>Unknown</v>
      </c>
    </row>
    <row r="1015" spans="1:15" x14ac:dyDescent="0.3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f t="array" ref="O1015">_xlfn.IFS(orders[[#This Row],[Customer Gender]]="M","Male", orders[[#This Row],[Customer Gender]]="F","Female", orders[[#This Row],[Customer Gender]]="O","Other", TRUE,"Unknown")</f>
        <v>Female</v>
      </c>
    </row>
    <row r="1016" spans="1:15" x14ac:dyDescent="0.3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f t="array" ref="O1016">_xlfn.IFS(orders[[#This Row],[Customer Gender]]="M","Male", orders[[#This Row],[Customer Gender]]="F","Female", orders[[#This Row],[Customer Gender]]="O","Other", TRUE,"Unknown")</f>
        <v>Male</v>
      </c>
    </row>
    <row r="1017" spans="1:15" x14ac:dyDescent="0.3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f t="array" ref="O1017">_xlfn.IFS(orders[[#This Row],[Customer Gender]]="M","Male", orders[[#This Row],[Customer Gender]]="F","Female", orders[[#This Row],[Customer Gender]]="O","Other", TRUE,"Unknown")</f>
        <v>Female</v>
      </c>
    </row>
    <row r="1018" spans="1:15" x14ac:dyDescent="0.3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f t="array" ref="O1018">_xlfn.IFS(orders[[#This Row],[Customer Gender]]="M","Male", orders[[#This Row],[Customer Gender]]="F","Female", orders[[#This Row],[Customer Gender]]="O","Other", TRUE,"Unknown")</f>
        <v>Female</v>
      </c>
    </row>
    <row r="1019" spans="1:15" x14ac:dyDescent="0.3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f t="array" ref="O1019">_xlfn.IFS(orders[[#This Row],[Customer Gender]]="M","Male", orders[[#This Row],[Customer Gender]]="F","Female", orders[[#This Row],[Customer Gender]]="O","Other", TRUE,"Unknown")</f>
        <v>Unknown</v>
      </c>
    </row>
    <row r="1020" spans="1:15" x14ac:dyDescent="0.3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f t="array" ref="O1020">_xlfn.IFS(orders[[#This Row],[Customer Gender]]="M","Male", orders[[#This Row],[Customer Gender]]="F","Female", orders[[#This Row],[Customer Gender]]="O","Other", TRUE,"Unknown")</f>
        <v>Female</v>
      </c>
    </row>
    <row r="1021" spans="1:15" x14ac:dyDescent="0.3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f t="array" ref="O1021">_xlfn.IFS(orders[[#This Row],[Customer Gender]]="M","Male", orders[[#This Row],[Customer Gender]]="F","Female", orders[[#This Row],[Customer Gender]]="O","Other", TRUE,"Unknown")</f>
        <v>Male</v>
      </c>
    </row>
    <row r="1022" spans="1:15" x14ac:dyDescent="0.3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f t="array" ref="O1022">_xlfn.IFS(orders[[#This Row],[Customer Gender]]="M","Male", orders[[#This Row],[Customer Gender]]="F","Female", orders[[#This Row],[Customer Gender]]="O","Other", TRUE,"Unknown")</f>
        <v>Female</v>
      </c>
    </row>
    <row r="1023" spans="1:15" x14ac:dyDescent="0.3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f t="array" ref="O1023">_xlfn.IFS(orders[[#This Row],[Customer Gender]]="M","Male", orders[[#This Row],[Customer Gender]]="F","Female", orders[[#This Row],[Customer Gender]]="O","Other", TRUE,"Unknown")</f>
        <v>Male</v>
      </c>
    </row>
    <row r="1024" spans="1:15" x14ac:dyDescent="0.3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f t="array" ref="O1024">_xlfn.IFS(orders[[#This Row],[Customer Gender]]="M","Male", orders[[#This Row],[Customer Gender]]="F","Female", orders[[#This Row],[Customer Gender]]="O","Other", TRUE,"Unknown")</f>
        <v>Male</v>
      </c>
    </row>
    <row r="1025" spans="1:15" x14ac:dyDescent="0.3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f t="array" ref="O1025">_xlfn.IFS(orders[[#This Row],[Customer Gender]]="M","Male", orders[[#This Row],[Customer Gender]]="F","Female", orders[[#This Row],[Customer Gender]]="O","Other", TRUE,"Unknown")</f>
        <v>Male</v>
      </c>
    </row>
    <row r="1026" spans="1:15" x14ac:dyDescent="0.3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f t="array" ref="O1026">_xlfn.IFS(orders[[#This Row],[Customer Gender]]="M","Male", orders[[#This Row],[Customer Gender]]="F","Female", orders[[#This Row],[Customer Gender]]="O","Other", TRUE,"Unknown")</f>
        <v>Female</v>
      </c>
    </row>
    <row r="1027" spans="1:15" x14ac:dyDescent="0.3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f t="array" ref="O1027">_xlfn.IFS(orders[[#This Row],[Customer Gender]]="M","Male", orders[[#This Row],[Customer Gender]]="F","Female", orders[[#This Row],[Customer Gender]]="O","Other", TRUE,"Unknown")</f>
        <v>Female</v>
      </c>
    </row>
    <row r="1028" spans="1:15" x14ac:dyDescent="0.3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f t="array" ref="O1028">_xlfn.IFS(orders[[#This Row],[Customer Gender]]="M","Male", orders[[#This Row],[Customer Gender]]="F","Female", orders[[#This Row],[Customer Gender]]="O","Other", TRUE,"Unknown")</f>
        <v>Female</v>
      </c>
    </row>
    <row r="1029" spans="1:15" x14ac:dyDescent="0.3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f t="array" ref="O1029">_xlfn.IFS(orders[[#This Row],[Customer Gender]]="M","Male", orders[[#This Row],[Customer Gender]]="F","Female", orders[[#This Row],[Customer Gender]]="O","Other", TRUE,"Unknown")</f>
        <v>Female</v>
      </c>
    </row>
    <row r="1030" spans="1:15" x14ac:dyDescent="0.3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f t="array" ref="O1030">_xlfn.IFS(orders[[#This Row],[Customer Gender]]="M","Male", orders[[#This Row],[Customer Gender]]="F","Female", orders[[#This Row],[Customer Gender]]="O","Other", TRUE,"Unknown")</f>
        <v>Female</v>
      </c>
    </row>
    <row r="1031" spans="1:15" x14ac:dyDescent="0.3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f t="array" ref="O1031">_xlfn.IFS(orders[[#This Row],[Customer Gender]]="M","Male", orders[[#This Row],[Customer Gender]]="F","Female", orders[[#This Row],[Customer Gender]]="O","Other", TRUE,"Unknown")</f>
        <v>Male</v>
      </c>
    </row>
    <row r="1032" spans="1:15" x14ac:dyDescent="0.3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f t="array" ref="O1032">_xlfn.IFS(orders[[#This Row],[Customer Gender]]="M","Male", orders[[#This Row],[Customer Gender]]="F","Female", orders[[#This Row],[Customer Gender]]="O","Other", TRUE,"Unknown")</f>
        <v>Female</v>
      </c>
    </row>
    <row r="1033" spans="1:15" x14ac:dyDescent="0.3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f t="array" ref="O1033">_xlfn.IFS(orders[[#This Row],[Customer Gender]]="M","Male", orders[[#This Row],[Customer Gender]]="F","Female", orders[[#This Row],[Customer Gender]]="O","Other", TRUE,"Unknown")</f>
        <v>Male</v>
      </c>
    </row>
    <row r="1034" spans="1:15" x14ac:dyDescent="0.3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f t="array" ref="O1034">_xlfn.IFS(orders[[#This Row],[Customer Gender]]="M","Male", orders[[#This Row],[Customer Gender]]="F","Female", orders[[#This Row],[Customer Gender]]="O","Other", TRUE,"Unknown")</f>
        <v>Female</v>
      </c>
    </row>
    <row r="1035" spans="1:15" x14ac:dyDescent="0.3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f t="array" ref="O1035">_xlfn.IFS(orders[[#This Row],[Customer Gender]]="M","Male", orders[[#This Row],[Customer Gender]]="F","Female", orders[[#This Row],[Customer Gender]]="O","Other", TRUE,"Unknown")</f>
        <v>Unknown</v>
      </c>
    </row>
    <row r="1036" spans="1:15" x14ac:dyDescent="0.3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f t="array" ref="O1036">_xlfn.IFS(orders[[#This Row],[Customer Gender]]="M","Male", orders[[#This Row],[Customer Gender]]="F","Female", orders[[#This Row],[Customer Gender]]="O","Other", TRUE,"Unknown")</f>
        <v>Female</v>
      </c>
    </row>
    <row r="1037" spans="1:15" x14ac:dyDescent="0.3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f t="array" ref="O1037">_xlfn.IFS(orders[[#This Row],[Customer Gender]]="M","Male", orders[[#This Row],[Customer Gender]]="F","Female", orders[[#This Row],[Customer Gender]]="O","Other", TRUE,"Unknown")</f>
        <v>Male</v>
      </c>
    </row>
    <row r="1038" spans="1:15" x14ac:dyDescent="0.3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f t="array" ref="O1038">_xlfn.IFS(orders[[#This Row],[Customer Gender]]="M","Male", orders[[#This Row],[Customer Gender]]="F","Female", orders[[#This Row],[Customer Gender]]="O","Other", TRUE,"Unknown")</f>
        <v>Male</v>
      </c>
    </row>
    <row r="1039" spans="1:15" x14ac:dyDescent="0.3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f t="array" ref="O1039">_xlfn.IFS(orders[[#This Row],[Customer Gender]]="M","Male", orders[[#This Row],[Customer Gender]]="F","Female", orders[[#This Row],[Customer Gender]]="O","Other", TRUE,"Unknown")</f>
        <v>Female</v>
      </c>
    </row>
    <row r="1040" spans="1:15" x14ac:dyDescent="0.3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f t="array" ref="O1040">_xlfn.IFS(orders[[#This Row],[Customer Gender]]="M","Male", orders[[#This Row],[Customer Gender]]="F","Female", orders[[#This Row],[Customer Gender]]="O","Other", TRUE,"Unknown")</f>
        <v>Female</v>
      </c>
    </row>
    <row r="1041" spans="1:15" x14ac:dyDescent="0.3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f t="array" ref="O1041">_xlfn.IFS(orders[[#This Row],[Customer Gender]]="M","Male", orders[[#This Row],[Customer Gender]]="F","Female", orders[[#This Row],[Customer Gender]]="O","Other", TRUE,"Unknown")</f>
        <v>Male</v>
      </c>
    </row>
    <row r="1042" spans="1:15" x14ac:dyDescent="0.3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f t="array" ref="O1042">_xlfn.IFS(orders[[#This Row],[Customer Gender]]="M","Male", orders[[#This Row],[Customer Gender]]="F","Female", orders[[#This Row],[Customer Gender]]="O","Other", TRUE,"Unknown")</f>
        <v>Unknown</v>
      </c>
    </row>
    <row r="1043" spans="1:15" x14ac:dyDescent="0.3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f t="array" ref="O1043">_xlfn.IFS(orders[[#This Row],[Customer Gender]]="M","Male", orders[[#This Row],[Customer Gender]]="F","Female", orders[[#This Row],[Customer Gender]]="O","Other", TRUE,"Unknown")</f>
        <v>Female</v>
      </c>
    </row>
    <row r="1044" spans="1:15" x14ac:dyDescent="0.3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f t="array" ref="O1044">_xlfn.IFS(orders[[#This Row],[Customer Gender]]="M","Male", orders[[#This Row],[Customer Gender]]="F","Female", orders[[#This Row],[Customer Gender]]="O","Other", TRUE,"Unknown")</f>
        <v>Male</v>
      </c>
    </row>
    <row r="1045" spans="1:15" x14ac:dyDescent="0.3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f t="array" ref="O1045">_xlfn.IFS(orders[[#This Row],[Customer Gender]]="M","Male", orders[[#This Row],[Customer Gender]]="F","Female", orders[[#This Row],[Customer Gender]]="O","Other", TRUE,"Unknown")</f>
        <v>Female</v>
      </c>
    </row>
    <row r="1046" spans="1:15" x14ac:dyDescent="0.3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f t="array" ref="O1046">_xlfn.IFS(orders[[#This Row],[Customer Gender]]="M","Male", orders[[#This Row],[Customer Gender]]="F","Female", orders[[#This Row],[Customer Gender]]="O","Other", TRUE,"Unknown")</f>
        <v>Male</v>
      </c>
    </row>
    <row r="1047" spans="1:15" x14ac:dyDescent="0.3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f t="array" ref="O1047">_xlfn.IFS(orders[[#This Row],[Customer Gender]]="M","Male", orders[[#This Row],[Customer Gender]]="F","Female", orders[[#This Row],[Customer Gender]]="O","Other", TRUE,"Unknown")</f>
        <v>Female</v>
      </c>
    </row>
    <row r="1048" spans="1:15" x14ac:dyDescent="0.3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f t="array" ref="O1048">_xlfn.IFS(orders[[#This Row],[Customer Gender]]="M","Male", orders[[#This Row],[Customer Gender]]="F","Female", orders[[#This Row],[Customer Gender]]="O","Other", TRUE,"Unknown")</f>
        <v>Female</v>
      </c>
    </row>
    <row r="1049" spans="1:15" x14ac:dyDescent="0.3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f t="array" ref="O1049">_xlfn.IFS(orders[[#This Row],[Customer Gender]]="M","Male", orders[[#This Row],[Customer Gender]]="F","Female", orders[[#This Row],[Customer Gender]]="O","Other", TRUE,"Unknown")</f>
        <v>Female</v>
      </c>
    </row>
    <row r="1050" spans="1:15" x14ac:dyDescent="0.3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f t="array" ref="O1050">_xlfn.IFS(orders[[#This Row],[Customer Gender]]="M","Male", orders[[#This Row],[Customer Gender]]="F","Female", orders[[#This Row],[Customer Gender]]="O","Other", TRUE,"Unknown")</f>
        <v>Female</v>
      </c>
    </row>
    <row r="1051" spans="1:15" x14ac:dyDescent="0.3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f t="array" ref="O1051">_xlfn.IFS(orders[[#This Row],[Customer Gender]]="M","Male", orders[[#This Row],[Customer Gender]]="F","Female", orders[[#This Row],[Customer Gender]]="O","Other", TRUE,"Unknown")</f>
        <v>Male</v>
      </c>
    </row>
    <row r="1052" spans="1:15" x14ac:dyDescent="0.3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f t="array" ref="O1052">_xlfn.IFS(orders[[#This Row],[Customer Gender]]="M","Male", orders[[#This Row],[Customer Gender]]="F","Female", orders[[#This Row],[Customer Gender]]="O","Other", TRUE,"Unknown")</f>
        <v>Male</v>
      </c>
    </row>
    <row r="1053" spans="1:15" x14ac:dyDescent="0.3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f t="array" ref="O1053">_xlfn.IFS(orders[[#This Row],[Customer Gender]]="M","Male", orders[[#This Row],[Customer Gender]]="F","Female", orders[[#This Row],[Customer Gender]]="O","Other", TRUE,"Unknown")</f>
        <v>Female</v>
      </c>
    </row>
    <row r="1054" spans="1:15" x14ac:dyDescent="0.3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f t="array" ref="O1054">_xlfn.IFS(orders[[#This Row],[Customer Gender]]="M","Male", orders[[#This Row],[Customer Gender]]="F","Female", orders[[#This Row],[Customer Gender]]="O","Other", TRUE,"Unknown")</f>
        <v>Male</v>
      </c>
    </row>
    <row r="1055" spans="1:15" x14ac:dyDescent="0.3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f t="array" ref="O1055">_xlfn.IFS(orders[[#This Row],[Customer Gender]]="M","Male", orders[[#This Row],[Customer Gender]]="F","Female", orders[[#This Row],[Customer Gender]]="O","Other", TRUE,"Unknown")</f>
        <v>Female</v>
      </c>
    </row>
    <row r="1056" spans="1:15" x14ac:dyDescent="0.3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f t="array" ref="O1056">_xlfn.IFS(orders[[#This Row],[Customer Gender]]="M","Male", orders[[#This Row],[Customer Gender]]="F","Female", orders[[#This Row],[Customer Gender]]="O","Other", TRUE,"Unknown")</f>
        <v>Male</v>
      </c>
    </row>
    <row r="1057" spans="1:15" x14ac:dyDescent="0.3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f t="array" ref="O1057">_xlfn.IFS(orders[[#This Row],[Customer Gender]]="M","Male", orders[[#This Row],[Customer Gender]]="F","Female", orders[[#This Row],[Customer Gender]]="O","Other", TRUE,"Unknown")</f>
        <v>Male</v>
      </c>
    </row>
    <row r="1058" spans="1:15" x14ac:dyDescent="0.3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f t="array" ref="O1058">_xlfn.IFS(orders[[#This Row],[Customer Gender]]="M","Male", orders[[#This Row],[Customer Gender]]="F","Female", orders[[#This Row],[Customer Gender]]="O","Other", TRUE,"Unknown")</f>
        <v>Female</v>
      </c>
    </row>
    <row r="1059" spans="1:15" x14ac:dyDescent="0.3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f t="array" ref="O1059">_xlfn.IFS(orders[[#This Row],[Customer Gender]]="M","Male", orders[[#This Row],[Customer Gender]]="F","Female", orders[[#This Row],[Customer Gender]]="O","Other", TRUE,"Unknown")</f>
        <v>Female</v>
      </c>
    </row>
    <row r="1060" spans="1:15" x14ac:dyDescent="0.3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f t="array" ref="O1060">_xlfn.IFS(orders[[#This Row],[Customer Gender]]="M","Male", orders[[#This Row],[Customer Gender]]="F","Female", orders[[#This Row],[Customer Gender]]="O","Other", TRUE,"Unknown")</f>
        <v>Female</v>
      </c>
    </row>
    <row r="1061" spans="1:15" x14ac:dyDescent="0.3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f t="array" ref="O1061">_xlfn.IFS(orders[[#This Row],[Customer Gender]]="M","Male", orders[[#This Row],[Customer Gender]]="F","Female", orders[[#This Row],[Customer Gender]]="O","Other", TRUE,"Unknown")</f>
        <v>Male</v>
      </c>
    </row>
    <row r="1062" spans="1:15" x14ac:dyDescent="0.3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f t="array" ref="O1062">_xlfn.IFS(orders[[#This Row],[Customer Gender]]="M","Male", orders[[#This Row],[Customer Gender]]="F","Female", orders[[#This Row],[Customer Gender]]="O","Other", TRUE,"Unknown")</f>
        <v>Unknown</v>
      </c>
    </row>
    <row r="1063" spans="1:15" x14ac:dyDescent="0.3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f t="array" ref="O1063">_xlfn.IFS(orders[[#This Row],[Customer Gender]]="M","Male", orders[[#This Row],[Customer Gender]]="F","Female", orders[[#This Row],[Customer Gender]]="O","Other", TRUE,"Unknown")</f>
        <v>Male</v>
      </c>
    </row>
    <row r="1064" spans="1:15" x14ac:dyDescent="0.3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f t="array" ref="O1064">_xlfn.IFS(orders[[#This Row],[Customer Gender]]="M","Male", orders[[#This Row],[Customer Gender]]="F","Female", orders[[#This Row],[Customer Gender]]="O","Other", TRUE,"Unknown")</f>
        <v>Male</v>
      </c>
    </row>
    <row r="1065" spans="1:15" x14ac:dyDescent="0.3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f t="array" ref="O1065">_xlfn.IFS(orders[[#This Row],[Customer Gender]]="M","Male", orders[[#This Row],[Customer Gender]]="F","Female", orders[[#This Row],[Customer Gender]]="O","Other", TRUE,"Unknown")</f>
        <v>Female</v>
      </c>
    </row>
    <row r="1066" spans="1:15" x14ac:dyDescent="0.3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f t="array" ref="O1066">_xlfn.IFS(orders[[#This Row],[Customer Gender]]="M","Male", orders[[#This Row],[Customer Gender]]="F","Female", orders[[#This Row],[Customer Gender]]="O","Other", TRUE,"Unknown")</f>
        <v>Male</v>
      </c>
    </row>
    <row r="1067" spans="1:15" x14ac:dyDescent="0.3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f t="array" ref="O1067">_xlfn.IFS(orders[[#This Row],[Customer Gender]]="M","Male", orders[[#This Row],[Customer Gender]]="F","Female", orders[[#This Row],[Customer Gender]]="O","Other", TRUE,"Unknown")</f>
        <v>Male</v>
      </c>
    </row>
    <row r="1068" spans="1:15" x14ac:dyDescent="0.3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f t="array" ref="O1068">_xlfn.IFS(orders[[#This Row],[Customer Gender]]="M","Male", orders[[#This Row],[Customer Gender]]="F","Female", orders[[#This Row],[Customer Gender]]="O","Other", TRUE,"Unknown")</f>
        <v>Female</v>
      </c>
    </row>
    <row r="1069" spans="1:15" x14ac:dyDescent="0.3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f t="array" ref="O1069">_xlfn.IFS(orders[[#This Row],[Customer Gender]]="M","Male", orders[[#This Row],[Customer Gender]]="F","Female", orders[[#This Row],[Customer Gender]]="O","Other", TRUE,"Unknown")</f>
        <v>Male</v>
      </c>
    </row>
    <row r="1070" spans="1:15" x14ac:dyDescent="0.3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f t="array" ref="O1070">_xlfn.IFS(orders[[#This Row],[Customer Gender]]="M","Male", orders[[#This Row],[Customer Gender]]="F","Female", orders[[#This Row],[Customer Gender]]="O","Other", TRUE,"Unknown")</f>
        <v>Female</v>
      </c>
    </row>
    <row r="1071" spans="1:15" x14ac:dyDescent="0.3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f t="array" ref="O1071">_xlfn.IFS(orders[[#This Row],[Customer Gender]]="M","Male", orders[[#This Row],[Customer Gender]]="F","Female", orders[[#This Row],[Customer Gender]]="O","Other", TRUE,"Unknown")</f>
        <v>Female</v>
      </c>
    </row>
    <row r="1072" spans="1:15" x14ac:dyDescent="0.3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f t="array" ref="O1072">_xlfn.IFS(orders[[#This Row],[Customer Gender]]="M","Male", orders[[#This Row],[Customer Gender]]="F","Female", orders[[#This Row],[Customer Gender]]="O","Other", TRUE,"Unknown")</f>
        <v>Male</v>
      </c>
    </row>
    <row r="1073" spans="1:15" x14ac:dyDescent="0.3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f t="array" ref="O1073">_xlfn.IFS(orders[[#This Row],[Customer Gender]]="M","Male", orders[[#This Row],[Customer Gender]]="F","Female", orders[[#This Row],[Customer Gender]]="O","Other", TRUE,"Unknown")</f>
        <v>Female</v>
      </c>
    </row>
    <row r="1074" spans="1:15" x14ac:dyDescent="0.3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f t="array" ref="O1074">_xlfn.IFS(orders[[#This Row],[Customer Gender]]="M","Male", orders[[#This Row],[Customer Gender]]="F","Female", orders[[#This Row],[Customer Gender]]="O","Other", TRUE,"Unknown")</f>
        <v>Male</v>
      </c>
    </row>
    <row r="1075" spans="1:15" x14ac:dyDescent="0.3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f t="array" ref="O1075">_xlfn.IFS(orders[[#This Row],[Customer Gender]]="M","Male", orders[[#This Row],[Customer Gender]]="F","Female", orders[[#This Row],[Customer Gender]]="O","Other", TRUE,"Unknown")</f>
        <v>Male</v>
      </c>
    </row>
    <row r="1076" spans="1:15" x14ac:dyDescent="0.3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f t="array" ref="O1076">_xlfn.IFS(orders[[#This Row],[Customer Gender]]="M","Male", orders[[#This Row],[Customer Gender]]="F","Female", orders[[#This Row],[Customer Gender]]="O","Other", TRUE,"Unknown")</f>
        <v>Male</v>
      </c>
    </row>
    <row r="1077" spans="1:15" x14ac:dyDescent="0.3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f t="array" ref="O1077">_xlfn.IFS(orders[[#This Row],[Customer Gender]]="M","Male", orders[[#This Row],[Customer Gender]]="F","Female", orders[[#This Row],[Customer Gender]]="O","Other", TRUE,"Unknown")</f>
        <v>Male</v>
      </c>
    </row>
    <row r="1078" spans="1:15" x14ac:dyDescent="0.3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f t="array" ref="O1078">_xlfn.IFS(orders[[#This Row],[Customer Gender]]="M","Male", orders[[#This Row],[Customer Gender]]="F","Female", orders[[#This Row],[Customer Gender]]="O","Other", TRUE,"Unknown")</f>
        <v>Male</v>
      </c>
    </row>
    <row r="1079" spans="1:15" x14ac:dyDescent="0.3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f t="array" ref="O1079">_xlfn.IFS(orders[[#This Row],[Customer Gender]]="M","Male", orders[[#This Row],[Customer Gender]]="F","Female", orders[[#This Row],[Customer Gender]]="O","Other", TRUE,"Unknown")</f>
        <v>Male</v>
      </c>
    </row>
    <row r="1080" spans="1:15" x14ac:dyDescent="0.3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f t="array" ref="O1080">_xlfn.IFS(orders[[#This Row],[Customer Gender]]="M","Male", orders[[#This Row],[Customer Gender]]="F","Female", orders[[#This Row],[Customer Gender]]="O","Other", TRUE,"Unknown")</f>
        <v>Male</v>
      </c>
    </row>
    <row r="1081" spans="1:15" x14ac:dyDescent="0.3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f t="array" ref="O1081">_xlfn.IFS(orders[[#This Row],[Customer Gender]]="M","Male", orders[[#This Row],[Customer Gender]]="F","Female", orders[[#This Row],[Customer Gender]]="O","Other", TRUE,"Unknown")</f>
        <v>Male</v>
      </c>
    </row>
    <row r="1082" spans="1:15" x14ac:dyDescent="0.3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f t="array" ref="O1082">_xlfn.IFS(orders[[#This Row],[Customer Gender]]="M","Male", orders[[#This Row],[Customer Gender]]="F","Female", orders[[#This Row],[Customer Gender]]="O","Other", TRUE,"Unknown")</f>
        <v>Female</v>
      </c>
    </row>
    <row r="1083" spans="1:15" x14ac:dyDescent="0.3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f t="array" ref="O1083">_xlfn.IFS(orders[[#This Row],[Customer Gender]]="M","Male", orders[[#This Row],[Customer Gender]]="F","Female", orders[[#This Row],[Customer Gender]]="O","Other", TRUE,"Unknown")</f>
        <v>Female</v>
      </c>
    </row>
    <row r="1084" spans="1:15" x14ac:dyDescent="0.3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f t="array" ref="O1084">_xlfn.IFS(orders[[#This Row],[Customer Gender]]="M","Male", orders[[#This Row],[Customer Gender]]="F","Female", orders[[#This Row],[Customer Gender]]="O","Other", TRUE,"Unknown")</f>
        <v>Female</v>
      </c>
    </row>
    <row r="1085" spans="1:15" x14ac:dyDescent="0.3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f t="array" ref="O1085">_xlfn.IFS(orders[[#This Row],[Customer Gender]]="M","Male", orders[[#This Row],[Customer Gender]]="F","Female", orders[[#This Row],[Customer Gender]]="O","Other", TRUE,"Unknown")</f>
        <v>Female</v>
      </c>
    </row>
    <row r="1086" spans="1:15" x14ac:dyDescent="0.3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f t="array" ref="O1086">_xlfn.IFS(orders[[#This Row],[Customer Gender]]="M","Male", orders[[#This Row],[Customer Gender]]="F","Female", orders[[#This Row],[Customer Gender]]="O","Other", TRUE,"Unknown")</f>
        <v>Female</v>
      </c>
    </row>
    <row r="1087" spans="1:15" x14ac:dyDescent="0.3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f t="array" ref="O1087">_xlfn.IFS(orders[[#This Row],[Customer Gender]]="M","Male", orders[[#This Row],[Customer Gender]]="F","Female", orders[[#This Row],[Customer Gender]]="O","Other", TRUE,"Unknown")</f>
        <v>Female</v>
      </c>
    </row>
    <row r="1088" spans="1:15" x14ac:dyDescent="0.3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f t="array" ref="O1088">_xlfn.IFS(orders[[#This Row],[Customer Gender]]="M","Male", orders[[#This Row],[Customer Gender]]="F","Female", orders[[#This Row],[Customer Gender]]="O","Other", TRUE,"Unknown")</f>
        <v>Female</v>
      </c>
    </row>
    <row r="1089" spans="1:15" x14ac:dyDescent="0.3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f t="array" ref="O1089">_xlfn.IFS(orders[[#This Row],[Customer Gender]]="M","Male", orders[[#This Row],[Customer Gender]]="F","Female", orders[[#This Row],[Customer Gender]]="O","Other", TRUE,"Unknown")</f>
        <v>Male</v>
      </c>
    </row>
    <row r="1090" spans="1:15" x14ac:dyDescent="0.3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f t="array" ref="O1090">_xlfn.IFS(orders[[#This Row],[Customer Gender]]="M","Male", orders[[#This Row],[Customer Gender]]="F","Female", orders[[#This Row],[Customer Gender]]="O","Other", TRUE,"Unknown")</f>
        <v>Female</v>
      </c>
    </row>
    <row r="1091" spans="1:15" x14ac:dyDescent="0.3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f t="array" ref="O1091">_xlfn.IFS(orders[[#This Row],[Customer Gender]]="M","Male", orders[[#This Row],[Customer Gender]]="F","Female", orders[[#This Row],[Customer Gender]]="O","Other", TRUE,"Unknown")</f>
        <v>Male</v>
      </c>
    </row>
    <row r="1092" spans="1:15" x14ac:dyDescent="0.3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f t="array" ref="O1092">_xlfn.IFS(orders[[#This Row],[Customer Gender]]="M","Male", orders[[#This Row],[Customer Gender]]="F","Female", orders[[#This Row],[Customer Gender]]="O","Other", TRUE,"Unknown")</f>
        <v>Unknown</v>
      </c>
    </row>
    <row r="1093" spans="1:15" x14ac:dyDescent="0.3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f t="array" ref="O1093">_xlfn.IFS(orders[[#This Row],[Customer Gender]]="M","Male", orders[[#This Row],[Customer Gender]]="F","Female", orders[[#This Row],[Customer Gender]]="O","Other", TRUE,"Unknown")</f>
        <v>Female</v>
      </c>
    </row>
    <row r="1094" spans="1:15" x14ac:dyDescent="0.3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f t="array" ref="O1094">_xlfn.IFS(orders[[#This Row],[Customer Gender]]="M","Male", orders[[#This Row],[Customer Gender]]="F","Female", orders[[#This Row],[Customer Gender]]="O","Other", TRUE,"Unknown")</f>
        <v>Female</v>
      </c>
    </row>
    <row r="1095" spans="1:15" x14ac:dyDescent="0.3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f t="array" ref="O1095">_xlfn.IFS(orders[[#This Row],[Customer Gender]]="M","Male", orders[[#This Row],[Customer Gender]]="F","Female", orders[[#This Row],[Customer Gender]]="O","Other", TRUE,"Unknown")</f>
        <v>Male</v>
      </c>
    </row>
    <row r="1096" spans="1:15" x14ac:dyDescent="0.3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f t="array" ref="O1096">_xlfn.IFS(orders[[#This Row],[Customer Gender]]="M","Male", orders[[#This Row],[Customer Gender]]="F","Female", orders[[#This Row],[Customer Gender]]="O","Other", TRUE,"Unknown")</f>
        <v>Female</v>
      </c>
    </row>
    <row r="1097" spans="1:15" x14ac:dyDescent="0.3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f t="array" ref="O1097">_xlfn.IFS(orders[[#This Row],[Customer Gender]]="M","Male", orders[[#This Row],[Customer Gender]]="F","Female", orders[[#This Row],[Customer Gender]]="O","Other", TRUE,"Unknown")</f>
        <v>Female</v>
      </c>
    </row>
    <row r="1098" spans="1:15" x14ac:dyDescent="0.3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f t="array" ref="O1098">_xlfn.IFS(orders[[#This Row],[Customer Gender]]="M","Male", orders[[#This Row],[Customer Gender]]="F","Female", orders[[#This Row],[Customer Gender]]="O","Other", TRUE,"Unknown")</f>
        <v>Female</v>
      </c>
    </row>
    <row r="1099" spans="1:15" x14ac:dyDescent="0.3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f t="array" ref="O1099">_xlfn.IFS(orders[[#This Row],[Customer Gender]]="M","Male", orders[[#This Row],[Customer Gender]]="F","Female", orders[[#This Row],[Customer Gender]]="O","Other", TRUE,"Unknown")</f>
        <v>Male</v>
      </c>
    </row>
    <row r="1100" spans="1:15" x14ac:dyDescent="0.3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f t="array" ref="O1100">_xlfn.IFS(orders[[#This Row],[Customer Gender]]="M","Male", orders[[#This Row],[Customer Gender]]="F","Female", orders[[#This Row],[Customer Gender]]="O","Other", TRUE,"Unknown")</f>
        <v>Female</v>
      </c>
    </row>
    <row r="1101" spans="1:15" x14ac:dyDescent="0.3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f t="array" ref="O1101">_xlfn.IFS(orders[[#This Row],[Customer Gender]]="M","Male", orders[[#This Row],[Customer Gender]]="F","Female", orders[[#This Row],[Customer Gender]]="O","Other", TRUE,"Unknown")</f>
        <v>Female</v>
      </c>
    </row>
    <row r="1102" spans="1:15" x14ac:dyDescent="0.3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f t="array" ref="O1102">_xlfn.IFS(orders[[#This Row],[Customer Gender]]="M","Male", orders[[#This Row],[Customer Gender]]="F","Female", orders[[#This Row],[Customer Gender]]="O","Other", TRUE,"Unknown")</f>
        <v>Female</v>
      </c>
    </row>
    <row r="1103" spans="1:15" x14ac:dyDescent="0.3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f t="array" ref="O1103">_xlfn.IFS(orders[[#This Row],[Customer Gender]]="M","Male", orders[[#This Row],[Customer Gender]]="F","Female", orders[[#This Row],[Customer Gender]]="O","Other", TRUE,"Unknown")</f>
        <v>Male</v>
      </c>
    </row>
    <row r="1104" spans="1:15" x14ac:dyDescent="0.3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f t="array" ref="O1104">_xlfn.IFS(orders[[#This Row],[Customer Gender]]="M","Male", orders[[#This Row],[Customer Gender]]="F","Female", orders[[#This Row],[Customer Gender]]="O","Other", TRUE,"Unknown")</f>
        <v>Unknown</v>
      </c>
    </row>
    <row r="1105" spans="1:15" x14ac:dyDescent="0.3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f t="array" ref="O1105">_xlfn.IFS(orders[[#This Row],[Customer Gender]]="M","Male", orders[[#This Row],[Customer Gender]]="F","Female", orders[[#This Row],[Customer Gender]]="O","Other", TRUE,"Unknown")</f>
        <v>Female</v>
      </c>
    </row>
    <row r="1106" spans="1:15" x14ac:dyDescent="0.3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f t="array" ref="O1106">_xlfn.IFS(orders[[#This Row],[Customer Gender]]="M","Male", orders[[#This Row],[Customer Gender]]="F","Female", orders[[#This Row],[Customer Gender]]="O","Other", TRUE,"Unknown")</f>
        <v>Male</v>
      </c>
    </row>
    <row r="1107" spans="1:15" x14ac:dyDescent="0.3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f t="array" ref="O1107">_xlfn.IFS(orders[[#This Row],[Customer Gender]]="M","Male", orders[[#This Row],[Customer Gender]]="F","Female", orders[[#This Row],[Customer Gender]]="O","Other", TRUE,"Unknown")</f>
        <v>Other</v>
      </c>
    </row>
    <row r="1108" spans="1:15" x14ac:dyDescent="0.3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f t="array" ref="O1108">_xlfn.IFS(orders[[#This Row],[Customer Gender]]="M","Male", orders[[#This Row],[Customer Gender]]="F","Female", orders[[#This Row],[Customer Gender]]="O","Other", TRUE,"Unknown")</f>
        <v>Male</v>
      </c>
    </row>
    <row r="1109" spans="1:15" x14ac:dyDescent="0.3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f t="array" ref="O1109">_xlfn.IFS(orders[[#This Row],[Customer Gender]]="M","Male", orders[[#This Row],[Customer Gender]]="F","Female", orders[[#This Row],[Customer Gender]]="O","Other", TRUE,"Unknown")</f>
        <v>Female</v>
      </c>
    </row>
    <row r="1110" spans="1:15" x14ac:dyDescent="0.3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f t="array" ref="O1110">_xlfn.IFS(orders[[#This Row],[Customer Gender]]="M","Male", orders[[#This Row],[Customer Gender]]="F","Female", orders[[#This Row],[Customer Gender]]="O","Other", TRUE,"Unknown")</f>
        <v>Female</v>
      </c>
    </row>
    <row r="1111" spans="1:15" x14ac:dyDescent="0.3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f t="array" ref="O1111">_xlfn.IFS(orders[[#This Row],[Customer Gender]]="M","Male", orders[[#This Row],[Customer Gender]]="F","Female", orders[[#This Row],[Customer Gender]]="O","Other", TRUE,"Unknown")</f>
        <v>Female</v>
      </c>
    </row>
    <row r="1112" spans="1:15" x14ac:dyDescent="0.3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f t="array" ref="O1112">_xlfn.IFS(orders[[#This Row],[Customer Gender]]="M","Male", orders[[#This Row],[Customer Gender]]="F","Female", orders[[#This Row],[Customer Gender]]="O","Other", TRUE,"Unknown")</f>
        <v>Male</v>
      </c>
    </row>
    <row r="1113" spans="1:15" x14ac:dyDescent="0.3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f t="array" ref="O1113">_xlfn.IFS(orders[[#This Row],[Customer Gender]]="M","Male", orders[[#This Row],[Customer Gender]]="F","Female", orders[[#This Row],[Customer Gender]]="O","Other", TRUE,"Unknown")</f>
        <v>Other</v>
      </c>
    </row>
    <row r="1114" spans="1:15" x14ac:dyDescent="0.3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f t="array" ref="O1114">_xlfn.IFS(orders[[#This Row],[Customer Gender]]="M","Male", orders[[#This Row],[Customer Gender]]="F","Female", orders[[#This Row],[Customer Gender]]="O","Other", TRUE,"Unknown")</f>
        <v>Female</v>
      </c>
    </row>
    <row r="1115" spans="1:15" x14ac:dyDescent="0.3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f t="array" ref="O1115">_xlfn.IFS(orders[[#This Row],[Customer Gender]]="M","Male", orders[[#This Row],[Customer Gender]]="F","Female", orders[[#This Row],[Customer Gender]]="O","Other", TRUE,"Unknown")</f>
        <v>Female</v>
      </c>
    </row>
    <row r="1116" spans="1:15" x14ac:dyDescent="0.3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f t="array" ref="O1116">_xlfn.IFS(orders[[#This Row],[Customer Gender]]="M","Male", orders[[#This Row],[Customer Gender]]="F","Female", orders[[#This Row],[Customer Gender]]="O","Other", TRUE,"Unknown")</f>
        <v>Female</v>
      </c>
    </row>
    <row r="1117" spans="1:15" x14ac:dyDescent="0.3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f t="array" ref="O1117">_xlfn.IFS(orders[[#This Row],[Customer Gender]]="M","Male", orders[[#This Row],[Customer Gender]]="F","Female", orders[[#This Row],[Customer Gender]]="O","Other", TRUE,"Unknown")</f>
        <v>Female</v>
      </c>
    </row>
    <row r="1118" spans="1:15" x14ac:dyDescent="0.3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f t="array" ref="O1118">_xlfn.IFS(orders[[#This Row],[Customer Gender]]="M","Male", orders[[#This Row],[Customer Gender]]="F","Female", orders[[#This Row],[Customer Gender]]="O","Other", TRUE,"Unknown")</f>
        <v>Female</v>
      </c>
    </row>
    <row r="1119" spans="1:15" x14ac:dyDescent="0.3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f t="array" ref="O1119">_xlfn.IFS(orders[[#This Row],[Customer Gender]]="M","Male", orders[[#This Row],[Customer Gender]]="F","Female", orders[[#This Row],[Customer Gender]]="O","Other", TRUE,"Unknown")</f>
        <v>Female</v>
      </c>
    </row>
    <row r="1120" spans="1:15" x14ac:dyDescent="0.3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f t="array" ref="O1120">_xlfn.IFS(orders[[#This Row],[Customer Gender]]="M","Male", orders[[#This Row],[Customer Gender]]="F","Female", orders[[#This Row],[Customer Gender]]="O","Other", TRUE,"Unknown")</f>
        <v>Female</v>
      </c>
    </row>
    <row r="1121" spans="1:15" x14ac:dyDescent="0.3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f t="array" ref="O1121">_xlfn.IFS(orders[[#This Row],[Customer Gender]]="M","Male", orders[[#This Row],[Customer Gender]]="F","Female", orders[[#This Row],[Customer Gender]]="O","Other", TRUE,"Unknown")</f>
        <v>Female</v>
      </c>
    </row>
    <row r="1122" spans="1:15" x14ac:dyDescent="0.3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f t="array" ref="O1122">_xlfn.IFS(orders[[#This Row],[Customer Gender]]="M","Male", orders[[#This Row],[Customer Gender]]="F","Female", orders[[#This Row],[Customer Gender]]="O","Other", TRUE,"Unknown")</f>
        <v>Female</v>
      </c>
    </row>
    <row r="1123" spans="1:15" x14ac:dyDescent="0.3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f t="array" ref="O1123">_xlfn.IFS(orders[[#This Row],[Customer Gender]]="M","Male", orders[[#This Row],[Customer Gender]]="F","Female", orders[[#This Row],[Customer Gender]]="O","Other", TRUE,"Unknown")</f>
        <v>Male</v>
      </c>
    </row>
    <row r="1124" spans="1:15" x14ac:dyDescent="0.3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f t="array" ref="O1124">_xlfn.IFS(orders[[#This Row],[Customer Gender]]="M","Male", orders[[#This Row],[Customer Gender]]="F","Female", orders[[#This Row],[Customer Gender]]="O","Other", TRUE,"Unknown")</f>
        <v>Female</v>
      </c>
    </row>
    <row r="1125" spans="1:15" x14ac:dyDescent="0.3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f t="array" ref="O1125">_xlfn.IFS(orders[[#This Row],[Customer Gender]]="M","Male", orders[[#This Row],[Customer Gender]]="F","Female", orders[[#This Row],[Customer Gender]]="O","Other", TRUE,"Unknown")</f>
        <v>Male</v>
      </c>
    </row>
    <row r="1126" spans="1:15" x14ac:dyDescent="0.3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f t="array" ref="O1126">_xlfn.IFS(orders[[#This Row],[Customer Gender]]="M","Male", orders[[#This Row],[Customer Gender]]="F","Female", orders[[#This Row],[Customer Gender]]="O","Other", TRUE,"Unknown")</f>
        <v>Female</v>
      </c>
    </row>
    <row r="1127" spans="1:15" x14ac:dyDescent="0.3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f t="array" ref="O1127">_xlfn.IFS(orders[[#This Row],[Customer Gender]]="M","Male", orders[[#This Row],[Customer Gender]]="F","Female", orders[[#This Row],[Customer Gender]]="O","Other", TRUE,"Unknown")</f>
        <v>Female</v>
      </c>
    </row>
    <row r="1128" spans="1:15" x14ac:dyDescent="0.3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f t="array" ref="O1128">_xlfn.IFS(orders[[#This Row],[Customer Gender]]="M","Male", orders[[#This Row],[Customer Gender]]="F","Female", orders[[#This Row],[Customer Gender]]="O","Other", TRUE,"Unknown")</f>
        <v>Female</v>
      </c>
    </row>
    <row r="1129" spans="1:15" x14ac:dyDescent="0.3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f t="array" ref="O1129">_xlfn.IFS(orders[[#This Row],[Customer Gender]]="M","Male", orders[[#This Row],[Customer Gender]]="F","Female", orders[[#This Row],[Customer Gender]]="O","Other", TRUE,"Unknown")</f>
        <v>Female</v>
      </c>
    </row>
    <row r="1130" spans="1:15" x14ac:dyDescent="0.3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f t="array" ref="O1130">_xlfn.IFS(orders[[#This Row],[Customer Gender]]="M","Male", orders[[#This Row],[Customer Gender]]="F","Female", orders[[#This Row],[Customer Gender]]="O","Other", TRUE,"Unknown")</f>
        <v>Female</v>
      </c>
    </row>
    <row r="1131" spans="1:15" x14ac:dyDescent="0.3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f t="array" ref="O1131">_xlfn.IFS(orders[[#This Row],[Customer Gender]]="M","Male", orders[[#This Row],[Customer Gender]]="F","Female", orders[[#This Row],[Customer Gender]]="O","Other", TRUE,"Unknown")</f>
        <v>Female</v>
      </c>
    </row>
    <row r="1132" spans="1:15" x14ac:dyDescent="0.3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f t="array" ref="O1132">_xlfn.IFS(orders[[#This Row],[Customer Gender]]="M","Male", orders[[#This Row],[Customer Gender]]="F","Female", orders[[#This Row],[Customer Gender]]="O","Other", TRUE,"Unknown")</f>
        <v>Female</v>
      </c>
    </row>
    <row r="1133" spans="1:15" x14ac:dyDescent="0.3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f t="array" ref="O1133">_xlfn.IFS(orders[[#This Row],[Customer Gender]]="M","Male", orders[[#This Row],[Customer Gender]]="F","Female", orders[[#This Row],[Customer Gender]]="O","Other", TRUE,"Unknown")</f>
        <v>Male</v>
      </c>
    </row>
    <row r="1134" spans="1:15" x14ac:dyDescent="0.3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f t="array" ref="O1134">_xlfn.IFS(orders[[#This Row],[Customer Gender]]="M","Male", orders[[#This Row],[Customer Gender]]="F","Female", orders[[#This Row],[Customer Gender]]="O","Other", TRUE,"Unknown")</f>
        <v>Female</v>
      </c>
    </row>
    <row r="1135" spans="1:15" x14ac:dyDescent="0.3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f t="array" ref="O1135">_xlfn.IFS(orders[[#This Row],[Customer Gender]]="M","Male", orders[[#This Row],[Customer Gender]]="F","Female", orders[[#This Row],[Customer Gender]]="O","Other", TRUE,"Unknown")</f>
        <v>Female</v>
      </c>
    </row>
    <row r="1136" spans="1:15" x14ac:dyDescent="0.3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f t="array" ref="O1136">_xlfn.IFS(orders[[#This Row],[Customer Gender]]="M","Male", orders[[#This Row],[Customer Gender]]="F","Female", orders[[#This Row],[Customer Gender]]="O","Other", TRUE,"Unknown")</f>
        <v>Female</v>
      </c>
    </row>
    <row r="1137" spans="1:15" x14ac:dyDescent="0.3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f t="array" ref="O1137">_xlfn.IFS(orders[[#This Row],[Customer Gender]]="M","Male", orders[[#This Row],[Customer Gender]]="F","Female", orders[[#This Row],[Customer Gender]]="O","Other", TRUE,"Unknown")</f>
        <v>Male</v>
      </c>
    </row>
    <row r="1138" spans="1:15" x14ac:dyDescent="0.3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f t="array" ref="O1138">_xlfn.IFS(orders[[#This Row],[Customer Gender]]="M","Male", orders[[#This Row],[Customer Gender]]="F","Female", orders[[#This Row],[Customer Gender]]="O","Other", TRUE,"Unknown")</f>
        <v>Female</v>
      </c>
    </row>
    <row r="1139" spans="1:15" x14ac:dyDescent="0.3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f t="array" ref="O1139">_xlfn.IFS(orders[[#This Row],[Customer Gender]]="M","Male", orders[[#This Row],[Customer Gender]]="F","Female", orders[[#This Row],[Customer Gender]]="O","Other", TRUE,"Unknown")</f>
        <v>Female</v>
      </c>
    </row>
    <row r="1140" spans="1:15" x14ac:dyDescent="0.3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f t="array" ref="O1140">_xlfn.IFS(orders[[#This Row],[Customer Gender]]="M","Male", orders[[#This Row],[Customer Gender]]="F","Female", orders[[#This Row],[Customer Gender]]="O","Other", TRUE,"Unknown")</f>
        <v>Female</v>
      </c>
    </row>
    <row r="1141" spans="1:15" x14ac:dyDescent="0.3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f t="array" ref="O1141">_xlfn.IFS(orders[[#This Row],[Customer Gender]]="M","Male", orders[[#This Row],[Customer Gender]]="F","Female", orders[[#This Row],[Customer Gender]]="O","Other", TRUE,"Unknown")</f>
        <v>Male</v>
      </c>
    </row>
    <row r="1142" spans="1:15" x14ac:dyDescent="0.3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f t="array" ref="O1142">_xlfn.IFS(orders[[#This Row],[Customer Gender]]="M","Male", orders[[#This Row],[Customer Gender]]="F","Female", orders[[#This Row],[Customer Gender]]="O","Other", TRUE,"Unknown")</f>
        <v>Male</v>
      </c>
    </row>
    <row r="1143" spans="1:15" x14ac:dyDescent="0.3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f t="array" ref="O1143">_xlfn.IFS(orders[[#This Row],[Customer Gender]]="M","Male", orders[[#This Row],[Customer Gender]]="F","Female", orders[[#This Row],[Customer Gender]]="O","Other", TRUE,"Unknown")</f>
        <v>Female</v>
      </c>
    </row>
    <row r="1144" spans="1:15" x14ac:dyDescent="0.3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f t="array" ref="O1144">_xlfn.IFS(orders[[#This Row],[Customer Gender]]="M","Male", orders[[#This Row],[Customer Gender]]="F","Female", orders[[#This Row],[Customer Gender]]="O","Other", TRUE,"Unknown")</f>
        <v>Female</v>
      </c>
    </row>
    <row r="1145" spans="1:15" x14ac:dyDescent="0.3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f t="array" ref="O1145">_xlfn.IFS(orders[[#This Row],[Customer Gender]]="M","Male", orders[[#This Row],[Customer Gender]]="F","Female", orders[[#This Row],[Customer Gender]]="O","Other", TRUE,"Unknown")</f>
        <v>Male</v>
      </c>
    </row>
    <row r="1146" spans="1:15" x14ac:dyDescent="0.3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f t="array" ref="O1146">_xlfn.IFS(orders[[#This Row],[Customer Gender]]="M","Male", orders[[#This Row],[Customer Gender]]="F","Female", orders[[#This Row],[Customer Gender]]="O","Other", TRUE,"Unknown")</f>
        <v>Female</v>
      </c>
    </row>
    <row r="1147" spans="1:15" x14ac:dyDescent="0.3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f t="array" ref="O1147">_xlfn.IFS(orders[[#This Row],[Customer Gender]]="M","Male", orders[[#This Row],[Customer Gender]]="F","Female", orders[[#This Row],[Customer Gender]]="O","Other", TRUE,"Unknown")</f>
        <v>Female</v>
      </c>
    </row>
    <row r="1148" spans="1:15" x14ac:dyDescent="0.3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f t="array" ref="O1148">_xlfn.IFS(orders[[#This Row],[Customer Gender]]="M","Male", orders[[#This Row],[Customer Gender]]="F","Female", orders[[#This Row],[Customer Gender]]="O","Other", TRUE,"Unknown")</f>
        <v>Female</v>
      </c>
    </row>
    <row r="1149" spans="1:15" x14ac:dyDescent="0.3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f t="array" ref="O1149">_xlfn.IFS(orders[[#This Row],[Customer Gender]]="M","Male", orders[[#This Row],[Customer Gender]]="F","Female", orders[[#This Row],[Customer Gender]]="O","Other", TRUE,"Unknown")</f>
        <v>Female</v>
      </c>
    </row>
    <row r="1150" spans="1:15" x14ac:dyDescent="0.3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f t="array" ref="O1150">_xlfn.IFS(orders[[#This Row],[Customer Gender]]="M","Male", orders[[#This Row],[Customer Gender]]="F","Female", orders[[#This Row],[Customer Gender]]="O","Other", TRUE,"Unknown")</f>
        <v>Male</v>
      </c>
    </row>
    <row r="1151" spans="1:15" x14ac:dyDescent="0.3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f t="array" ref="O1151">_xlfn.IFS(orders[[#This Row],[Customer Gender]]="M","Male", orders[[#This Row],[Customer Gender]]="F","Female", orders[[#This Row],[Customer Gender]]="O","Other", TRUE,"Unknown")</f>
        <v>Male</v>
      </c>
    </row>
    <row r="1152" spans="1:15" x14ac:dyDescent="0.3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f t="array" ref="O1152">_xlfn.IFS(orders[[#This Row],[Customer Gender]]="M","Male", orders[[#This Row],[Customer Gender]]="F","Female", orders[[#This Row],[Customer Gender]]="O","Other", TRUE,"Unknown")</f>
        <v>Female</v>
      </c>
    </row>
    <row r="1153" spans="1:15" x14ac:dyDescent="0.3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f t="array" ref="O1153">_xlfn.IFS(orders[[#This Row],[Customer Gender]]="M","Male", orders[[#This Row],[Customer Gender]]="F","Female", orders[[#This Row],[Customer Gender]]="O","Other", TRUE,"Unknown")</f>
        <v>Female</v>
      </c>
    </row>
    <row r="1154" spans="1:15" x14ac:dyDescent="0.3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f t="array" ref="O1154">_xlfn.IFS(orders[[#This Row],[Customer Gender]]="M","Male", orders[[#This Row],[Customer Gender]]="F","Female", orders[[#This Row],[Customer Gender]]="O","Other", TRUE,"Unknown")</f>
        <v>Other</v>
      </c>
    </row>
    <row r="1155" spans="1:15" x14ac:dyDescent="0.3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f t="array" ref="O1155">_xlfn.IFS(orders[[#This Row],[Customer Gender]]="M","Male", orders[[#This Row],[Customer Gender]]="F","Female", orders[[#This Row],[Customer Gender]]="O","Other", TRUE,"Unknown")</f>
        <v>Male</v>
      </c>
    </row>
    <row r="1156" spans="1:15" x14ac:dyDescent="0.3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f t="array" ref="O1156">_xlfn.IFS(orders[[#This Row],[Customer Gender]]="M","Male", orders[[#This Row],[Customer Gender]]="F","Female", orders[[#This Row],[Customer Gender]]="O","Other", TRUE,"Unknown")</f>
        <v>Female</v>
      </c>
    </row>
    <row r="1157" spans="1:15" x14ac:dyDescent="0.3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f t="array" ref="O1157">_xlfn.IFS(orders[[#This Row],[Customer Gender]]="M","Male", orders[[#This Row],[Customer Gender]]="F","Female", orders[[#This Row],[Customer Gender]]="O","Other", TRUE,"Unknown")</f>
        <v>Male</v>
      </c>
    </row>
    <row r="1158" spans="1:15" x14ac:dyDescent="0.3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f t="array" ref="O1158">_xlfn.IFS(orders[[#This Row],[Customer Gender]]="M","Male", orders[[#This Row],[Customer Gender]]="F","Female", orders[[#This Row],[Customer Gender]]="O","Other", TRUE,"Unknown")</f>
        <v>Female</v>
      </c>
    </row>
    <row r="1159" spans="1:15" x14ac:dyDescent="0.3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f t="array" ref="O1159">_xlfn.IFS(orders[[#This Row],[Customer Gender]]="M","Male", orders[[#This Row],[Customer Gender]]="F","Female", orders[[#This Row],[Customer Gender]]="O","Other", TRUE,"Unknown")</f>
        <v>Female</v>
      </c>
    </row>
    <row r="1160" spans="1:15" x14ac:dyDescent="0.3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f t="array" ref="O1160">_xlfn.IFS(orders[[#This Row],[Customer Gender]]="M","Male", orders[[#This Row],[Customer Gender]]="F","Female", orders[[#This Row],[Customer Gender]]="O","Other", TRUE,"Unknown")</f>
        <v>Male</v>
      </c>
    </row>
    <row r="1161" spans="1:15" x14ac:dyDescent="0.3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f t="array" ref="O1161">_xlfn.IFS(orders[[#This Row],[Customer Gender]]="M","Male", orders[[#This Row],[Customer Gender]]="F","Female", orders[[#This Row],[Customer Gender]]="O","Other", TRUE,"Unknown")</f>
        <v>Unknown</v>
      </c>
    </row>
    <row r="1162" spans="1:15" x14ac:dyDescent="0.3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f t="array" ref="O1162">_xlfn.IFS(orders[[#This Row],[Customer Gender]]="M","Male", orders[[#This Row],[Customer Gender]]="F","Female", orders[[#This Row],[Customer Gender]]="O","Other", TRUE,"Unknown")</f>
        <v>Unknown</v>
      </c>
    </row>
    <row r="1163" spans="1:15" x14ac:dyDescent="0.3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f t="array" ref="O1163">_xlfn.IFS(orders[[#This Row],[Customer Gender]]="M","Male", orders[[#This Row],[Customer Gender]]="F","Female", orders[[#This Row],[Customer Gender]]="O","Other", TRUE,"Unknown")</f>
        <v>Male</v>
      </c>
    </row>
    <row r="1164" spans="1:15" x14ac:dyDescent="0.3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f t="array" ref="O1164">_xlfn.IFS(orders[[#This Row],[Customer Gender]]="M","Male", orders[[#This Row],[Customer Gender]]="F","Female", orders[[#This Row],[Customer Gender]]="O","Other", TRUE,"Unknown")</f>
        <v>Female</v>
      </c>
    </row>
    <row r="1165" spans="1:15" x14ac:dyDescent="0.3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f t="array" ref="O1165">_xlfn.IFS(orders[[#This Row],[Customer Gender]]="M","Male", orders[[#This Row],[Customer Gender]]="F","Female", orders[[#This Row],[Customer Gender]]="O","Other", TRUE,"Unknown")</f>
        <v>Male</v>
      </c>
    </row>
    <row r="1166" spans="1:15" x14ac:dyDescent="0.3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f t="array" ref="O1166">_xlfn.IFS(orders[[#This Row],[Customer Gender]]="M","Male", orders[[#This Row],[Customer Gender]]="F","Female", orders[[#This Row],[Customer Gender]]="O","Other", TRUE,"Unknown")</f>
        <v>Female</v>
      </c>
    </row>
    <row r="1167" spans="1:15" x14ac:dyDescent="0.3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f t="array" ref="O1167">_xlfn.IFS(orders[[#This Row],[Customer Gender]]="M","Male", orders[[#This Row],[Customer Gender]]="F","Female", orders[[#This Row],[Customer Gender]]="O","Other", TRUE,"Unknown")</f>
        <v>Female</v>
      </c>
    </row>
    <row r="1168" spans="1:15" x14ac:dyDescent="0.3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f t="array" ref="O1168">_xlfn.IFS(orders[[#This Row],[Customer Gender]]="M","Male", orders[[#This Row],[Customer Gender]]="F","Female", orders[[#This Row],[Customer Gender]]="O","Other", TRUE,"Unknown")</f>
        <v>Female</v>
      </c>
    </row>
    <row r="1169" spans="1:15" x14ac:dyDescent="0.3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f t="array" ref="O1169">_xlfn.IFS(orders[[#This Row],[Customer Gender]]="M","Male", orders[[#This Row],[Customer Gender]]="F","Female", orders[[#This Row],[Customer Gender]]="O","Other", TRUE,"Unknown")</f>
        <v>Female</v>
      </c>
    </row>
    <row r="1170" spans="1:15" x14ac:dyDescent="0.3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f t="array" ref="O1170">_xlfn.IFS(orders[[#This Row],[Customer Gender]]="M","Male", orders[[#This Row],[Customer Gender]]="F","Female", orders[[#This Row],[Customer Gender]]="O","Other", TRUE,"Unknown")</f>
        <v>Female</v>
      </c>
    </row>
    <row r="1171" spans="1:15" x14ac:dyDescent="0.3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f t="array" ref="O1171">_xlfn.IFS(orders[[#This Row],[Customer Gender]]="M","Male", orders[[#This Row],[Customer Gender]]="F","Female", orders[[#This Row],[Customer Gender]]="O","Other", TRUE,"Unknown")</f>
        <v>Female</v>
      </c>
    </row>
    <row r="1172" spans="1:15" x14ac:dyDescent="0.3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f t="array" ref="O1172">_xlfn.IFS(orders[[#This Row],[Customer Gender]]="M","Male", orders[[#This Row],[Customer Gender]]="F","Female", orders[[#This Row],[Customer Gender]]="O","Other", TRUE,"Unknown")</f>
        <v>Female</v>
      </c>
    </row>
    <row r="1173" spans="1:15" x14ac:dyDescent="0.3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f t="array" ref="O1173">_xlfn.IFS(orders[[#This Row],[Customer Gender]]="M","Male", orders[[#This Row],[Customer Gender]]="F","Female", orders[[#This Row],[Customer Gender]]="O","Other", TRUE,"Unknown")</f>
        <v>Male</v>
      </c>
    </row>
    <row r="1174" spans="1:15" x14ac:dyDescent="0.3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f t="array" ref="O1174">_xlfn.IFS(orders[[#This Row],[Customer Gender]]="M","Male", orders[[#This Row],[Customer Gender]]="F","Female", orders[[#This Row],[Customer Gender]]="O","Other", TRUE,"Unknown")</f>
        <v>Male</v>
      </c>
    </row>
    <row r="1175" spans="1:15" x14ac:dyDescent="0.3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f t="array" ref="O1175">_xlfn.IFS(orders[[#This Row],[Customer Gender]]="M","Male", orders[[#This Row],[Customer Gender]]="F","Female", orders[[#This Row],[Customer Gender]]="O","Other", TRUE,"Unknown")</f>
        <v>Female</v>
      </c>
    </row>
    <row r="1176" spans="1:15" x14ac:dyDescent="0.3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f t="array" ref="O1176">_xlfn.IFS(orders[[#This Row],[Customer Gender]]="M","Male", orders[[#This Row],[Customer Gender]]="F","Female", orders[[#This Row],[Customer Gender]]="O","Other", TRUE,"Unknown")</f>
        <v>Female</v>
      </c>
    </row>
    <row r="1177" spans="1:15" x14ac:dyDescent="0.3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f t="array" ref="O1177">_xlfn.IFS(orders[[#This Row],[Customer Gender]]="M","Male", orders[[#This Row],[Customer Gender]]="F","Female", orders[[#This Row],[Customer Gender]]="O","Other", TRUE,"Unknown")</f>
        <v>Male</v>
      </c>
    </row>
    <row r="1178" spans="1:15" x14ac:dyDescent="0.3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f t="array" ref="O1178">_xlfn.IFS(orders[[#This Row],[Customer Gender]]="M","Male", orders[[#This Row],[Customer Gender]]="F","Female", orders[[#This Row],[Customer Gender]]="O","Other", TRUE,"Unknown")</f>
        <v>Female</v>
      </c>
    </row>
    <row r="1179" spans="1:15" x14ac:dyDescent="0.3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f t="array" ref="O1179">_xlfn.IFS(orders[[#This Row],[Customer Gender]]="M","Male", orders[[#This Row],[Customer Gender]]="F","Female", orders[[#This Row],[Customer Gender]]="O","Other", TRUE,"Unknown")</f>
        <v>Female</v>
      </c>
    </row>
    <row r="1180" spans="1:15" x14ac:dyDescent="0.3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f t="array" ref="O1180">_xlfn.IFS(orders[[#This Row],[Customer Gender]]="M","Male", orders[[#This Row],[Customer Gender]]="F","Female", orders[[#This Row],[Customer Gender]]="O","Other", TRUE,"Unknown")</f>
        <v>Unknown</v>
      </c>
    </row>
    <row r="1181" spans="1:15" x14ac:dyDescent="0.3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f t="array" ref="O1181">_xlfn.IFS(orders[[#This Row],[Customer Gender]]="M","Male", orders[[#This Row],[Customer Gender]]="F","Female", orders[[#This Row],[Customer Gender]]="O","Other", TRUE,"Unknown")</f>
        <v>Female</v>
      </c>
    </row>
    <row r="1182" spans="1:15" x14ac:dyDescent="0.3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f t="array" ref="O1182">_xlfn.IFS(orders[[#This Row],[Customer Gender]]="M","Male", orders[[#This Row],[Customer Gender]]="F","Female", orders[[#This Row],[Customer Gender]]="O","Other", TRUE,"Unknown")</f>
        <v>Female</v>
      </c>
    </row>
    <row r="1183" spans="1:15" x14ac:dyDescent="0.3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f t="array" ref="O1183">_xlfn.IFS(orders[[#This Row],[Customer Gender]]="M","Male", orders[[#This Row],[Customer Gender]]="F","Female", orders[[#This Row],[Customer Gender]]="O","Other", TRUE,"Unknown")</f>
        <v>Male</v>
      </c>
    </row>
    <row r="1184" spans="1:15" x14ac:dyDescent="0.3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f t="array" ref="O1184">_xlfn.IFS(orders[[#This Row],[Customer Gender]]="M","Male", orders[[#This Row],[Customer Gender]]="F","Female", orders[[#This Row],[Customer Gender]]="O","Other", TRUE,"Unknown")</f>
        <v>Unknown</v>
      </c>
    </row>
    <row r="1185" spans="1:15" x14ac:dyDescent="0.3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f t="array" ref="O1185">_xlfn.IFS(orders[[#This Row],[Customer Gender]]="M","Male", orders[[#This Row],[Customer Gender]]="F","Female", orders[[#This Row],[Customer Gender]]="O","Other", TRUE,"Unknown")</f>
        <v>Male</v>
      </c>
    </row>
    <row r="1186" spans="1:15" x14ac:dyDescent="0.3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f t="array" ref="O1186">_xlfn.IFS(orders[[#This Row],[Customer Gender]]="M","Male", orders[[#This Row],[Customer Gender]]="F","Female", orders[[#This Row],[Customer Gender]]="O","Other", TRUE,"Unknown")</f>
        <v>Female</v>
      </c>
    </row>
    <row r="1187" spans="1:15" x14ac:dyDescent="0.3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f t="array" ref="O1187">_xlfn.IFS(orders[[#This Row],[Customer Gender]]="M","Male", orders[[#This Row],[Customer Gender]]="F","Female", orders[[#This Row],[Customer Gender]]="O","Other", TRUE,"Unknown")</f>
        <v>Male</v>
      </c>
    </row>
    <row r="1188" spans="1:15" x14ac:dyDescent="0.3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f t="array" ref="O1188">_xlfn.IFS(orders[[#This Row],[Customer Gender]]="M","Male", orders[[#This Row],[Customer Gender]]="F","Female", orders[[#This Row],[Customer Gender]]="O","Other", TRUE,"Unknown")</f>
        <v>Unknown</v>
      </c>
    </row>
    <row r="1189" spans="1:15" x14ac:dyDescent="0.3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f t="array" ref="O1189">_xlfn.IFS(orders[[#This Row],[Customer Gender]]="M","Male", orders[[#This Row],[Customer Gender]]="F","Female", orders[[#This Row],[Customer Gender]]="O","Other", TRUE,"Unknown")</f>
        <v>Female</v>
      </c>
    </row>
    <row r="1190" spans="1:15" x14ac:dyDescent="0.3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f t="array" ref="O1190">_xlfn.IFS(orders[[#This Row],[Customer Gender]]="M","Male", orders[[#This Row],[Customer Gender]]="F","Female", orders[[#This Row],[Customer Gender]]="O","Other", TRUE,"Unknown")</f>
        <v>Female</v>
      </c>
    </row>
    <row r="1191" spans="1:15" x14ac:dyDescent="0.3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f t="array" ref="O1191">_xlfn.IFS(orders[[#This Row],[Customer Gender]]="M","Male", orders[[#This Row],[Customer Gender]]="F","Female", orders[[#This Row],[Customer Gender]]="O","Other", TRUE,"Unknown")</f>
        <v>Male</v>
      </c>
    </row>
    <row r="1192" spans="1:15" x14ac:dyDescent="0.3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f t="array" ref="O1192">_xlfn.IFS(orders[[#This Row],[Customer Gender]]="M","Male", orders[[#This Row],[Customer Gender]]="F","Female", orders[[#This Row],[Customer Gender]]="O","Other", TRUE,"Unknown")</f>
        <v>Female</v>
      </c>
    </row>
    <row r="1193" spans="1:15" x14ac:dyDescent="0.3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f t="array" ref="O1193">_xlfn.IFS(orders[[#This Row],[Customer Gender]]="M","Male", orders[[#This Row],[Customer Gender]]="F","Female", orders[[#This Row],[Customer Gender]]="O","Other", TRUE,"Unknown")</f>
        <v>Female</v>
      </c>
    </row>
    <row r="1194" spans="1:15" x14ac:dyDescent="0.3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f t="array" ref="O1194">_xlfn.IFS(orders[[#This Row],[Customer Gender]]="M","Male", orders[[#This Row],[Customer Gender]]="F","Female", orders[[#This Row],[Customer Gender]]="O","Other", TRUE,"Unknown")</f>
        <v>Male</v>
      </c>
    </row>
    <row r="1195" spans="1:15" x14ac:dyDescent="0.3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f t="array" ref="O1195">_xlfn.IFS(orders[[#This Row],[Customer Gender]]="M","Male", orders[[#This Row],[Customer Gender]]="F","Female", orders[[#This Row],[Customer Gender]]="O","Other", TRUE,"Unknown")</f>
        <v>Female</v>
      </c>
    </row>
    <row r="1196" spans="1:15" x14ac:dyDescent="0.3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f t="array" ref="O1196">_xlfn.IFS(orders[[#This Row],[Customer Gender]]="M","Male", orders[[#This Row],[Customer Gender]]="F","Female", orders[[#This Row],[Customer Gender]]="O","Other", TRUE,"Unknown")</f>
        <v>Male</v>
      </c>
    </row>
    <row r="1197" spans="1:15" x14ac:dyDescent="0.3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f t="array" ref="O1197">_xlfn.IFS(orders[[#This Row],[Customer Gender]]="M","Male", orders[[#This Row],[Customer Gender]]="F","Female", orders[[#This Row],[Customer Gender]]="O","Other", TRUE,"Unknown")</f>
        <v>Male</v>
      </c>
    </row>
    <row r="1198" spans="1:15" x14ac:dyDescent="0.3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f t="array" ref="O1198">_xlfn.IFS(orders[[#This Row],[Customer Gender]]="M","Male", orders[[#This Row],[Customer Gender]]="F","Female", orders[[#This Row],[Customer Gender]]="O","Other", TRUE,"Unknown")</f>
        <v>Male</v>
      </c>
    </row>
    <row r="1199" spans="1:15" x14ac:dyDescent="0.3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f t="array" ref="O1199">_xlfn.IFS(orders[[#This Row],[Customer Gender]]="M","Male", orders[[#This Row],[Customer Gender]]="F","Female", orders[[#This Row],[Customer Gender]]="O","Other", TRUE,"Unknown")</f>
        <v>Male</v>
      </c>
    </row>
    <row r="1200" spans="1:15" x14ac:dyDescent="0.3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f t="array" ref="O1200">_xlfn.IFS(orders[[#This Row],[Customer Gender]]="M","Male", orders[[#This Row],[Customer Gender]]="F","Female", orders[[#This Row],[Customer Gender]]="O","Other", TRUE,"Unknown")</f>
        <v>Female</v>
      </c>
    </row>
    <row r="1201" spans="1:15" x14ac:dyDescent="0.3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f t="array" ref="O1201">_xlfn.IFS(orders[[#This Row],[Customer Gender]]="M","Male", orders[[#This Row],[Customer Gender]]="F","Female", orders[[#This Row],[Customer Gender]]="O","Other", TRUE,"Unknown")</f>
        <v>Female</v>
      </c>
    </row>
    <row r="1202" spans="1:15" x14ac:dyDescent="0.3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f t="array" ref="O1202">_xlfn.IFS(orders[[#This Row],[Customer Gender]]="M","Male", orders[[#This Row],[Customer Gender]]="F","Female", orders[[#This Row],[Customer Gender]]="O","Other", TRUE,"Unknown")</f>
        <v>Female</v>
      </c>
    </row>
    <row r="1203" spans="1:15" x14ac:dyDescent="0.3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f t="array" ref="O1203">_xlfn.IFS(orders[[#This Row],[Customer Gender]]="M","Male", orders[[#This Row],[Customer Gender]]="F","Female", orders[[#This Row],[Customer Gender]]="O","Other", TRUE,"Unknown")</f>
        <v>Female</v>
      </c>
    </row>
    <row r="1204" spans="1:15" x14ac:dyDescent="0.3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f t="array" ref="O1204">_xlfn.IFS(orders[[#This Row],[Customer Gender]]="M","Male", orders[[#This Row],[Customer Gender]]="F","Female", orders[[#This Row],[Customer Gender]]="O","Other", TRUE,"Unknown")</f>
        <v>Female</v>
      </c>
    </row>
    <row r="1205" spans="1:15" x14ac:dyDescent="0.3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f t="array" ref="O1205">_xlfn.IFS(orders[[#This Row],[Customer Gender]]="M","Male", orders[[#This Row],[Customer Gender]]="F","Female", orders[[#This Row],[Customer Gender]]="O","Other", TRUE,"Unknown")</f>
        <v>Male</v>
      </c>
    </row>
    <row r="1206" spans="1:15" x14ac:dyDescent="0.3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f t="array" ref="O1206">_xlfn.IFS(orders[[#This Row],[Customer Gender]]="M","Male", orders[[#This Row],[Customer Gender]]="F","Female", orders[[#This Row],[Customer Gender]]="O","Other", TRUE,"Unknown")</f>
        <v>Male</v>
      </c>
    </row>
    <row r="1207" spans="1:15" x14ac:dyDescent="0.3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f t="array" ref="O1207">_xlfn.IFS(orders[[#This Row],[Customer Gender]]="M","Male", orders[[#This Row],[Customer Gender]]="F","Female", orders[[#This Row],[Customer Gender]]="O","Other", TRUE,"Unknown")</f>
        <v>Other</v>
      </c>
    </row>
    <row r="1208" spans="1:15" x14ac:dyDescent="0.3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f t="array" ref="O1208">_xlfn.IFS(orders[[#This Row],[Customer Gender]]="M","Male", orders[[#This Row],[Customer Gender]]="F","Female", orders[[#This Row],[Customer Gender]]="O","Other", TRUE,"Unknown")</f>
        <v>Female</v>
      </c>
    </row>
    <row r="1209" spans="1:15" x14ac:dyDescent="0.3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f t="array" ref="O1209">_xlfn.IFS(orders[[#This Row],[Customer Gender]]="M","Male", orders[[#This Row],[Customer Gender]]="F","Female", orders[[#This Row],[Customer Gender]]="O","Other", TRUE,"Unknown")</f>
        <v>Female</v>
      </c>
    </row>
    <row r="1210" spans="1:15" x14ac:dyDescent="0.3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f t="array" ref="O1210">_xlfn.IFS(orders[[#This Row],[Customer Gender]]="M","Male", orders[[#This Row],[Customer Gender]]="F","Female", orders[[#This Row],[Customer Gender]]="O","Other", TRUE,"Unknown")</f>
        <v>Male</v>
      </c>
    </row>
    <row r="1211" spans="1:15" x14ac:dyDescent="0.3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f t="array" ref="O1211">_xlfn.IFS(orders[[#This Row],[Customer Gender]]="M","Male", orders[[#This Row],[Customer Gender]]="F","Female", orders[[#This Row],[Customer Gender]]="O","Other", TRUE,"Unknown")</f>
        <v>Male</v>
      </c>
    </row>
    <row r="1212" spans="1:15" x14ac:dyDescent="0.3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f t="array" ref="O1212">_xlfn.IFS(orders[[#This Row],[Customer Gender]]="M","Male", orders[[#This Row],[Customer Gender]]="F","Female", orders[[#This Row],[Customer Gender]]="O","Other", TRUE,"Unknown")</f>
        <v>Other</v>
      </c>
    </row>
    <row r="1213" spans="1:15" x14ac:dyDescent="0.3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f t="array" ref="O1213">_xlfn.IFS(orders[[#This Row],[Customer Gender]]="M","Male", orders[[#This Row],[Customer Gender]]="F","Female", orders[[#This Row],[Customer Gender]]="O","Other", TRUE,"Unknown")</f>
        <v>Female</v>
      </c>
    </row>
    <row r="1214" spans="1:15" x14ac:dyDescent="0.3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f t="array" ref="O1214">_xlfn.IFS(orders[[#This Row],[Customer Gender]]="M","Male", orders[[#This Row],[Customer Gender]]="F","Female", orders[[#This Row],[Customer Gender]]="O","Other", TRUE,"Unknown")</f>
        <v>Female</v>
      </c>
    </row>
    <row r="1215" spans="1:15" x14ac:dyDescent="0.3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f t="array" ref="O1215">_xlfn.IFS(orders[[#This Row],[Customer Gender]]="M","Male", orders[[#This Row],[Customer Gender]]="F","Female", orders[[#This Row],[Customer Gender]]="O","Other", TRUE,"Unknown")</f>
        <v>Unknown</v>
      </c>
    </row>
    <row r="1216" spans="1:15" x14ac:dyDescent="0.3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f t="array" ref="O1216">_xlfn.IFS(orders[[#This Row],[Customer Gender]]="M","Male", orders[[#This Row],[Customer Gender]]="F","Female", orders[[#This Row],[Customer Gender]]="O","Other", TRUE,"Unknown")</f>
        <v>Female</v>
      </c>
    </row>
    <row r="1217" spans="1:15" x14ac:dyDescent="0.3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f t="array" ref="O1217">_xlfn.IFS(orders[[#This Row],[Customer Gender]]="M","Male", orders[[#This Row],[Customer Gender]]="F","Female", orders[[#This Row],[Customer Gender]]="O","Other", TRUE,"Unknown")</f>
        <v>Male</v>
      </c>
    </row>
    <row r="1218" spans="1:15" x14ac:dyDescent="0.3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f t="array" ref="O1218">_xlfn.IFS(orders[[#This Row],[Customer Gender]]="M","Male", orders[[#This Row],[Customer Gender]]="F","Female", orders[[#This Row],[Customer Gender]]="O","Other", TRUE,"Unknown")</f>
        <v>Male</v>
      </c>
    </row>
    <row r="1219" spans="1:15" x14ac:dyDescent="0.3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f t="array" ref="O1219">_xlfn.IFS(orders[[#This Row],[Customer Gender]]="M","Male", orders[[#This Row],[Customer Gender]]="F","Female", orders[[#This Row],[Customer Gender]]="O","Other", TRUE,"Unknown")</f>
        <v>Male</v>
      </c>
    </row>
    <row r="1220" spans="1:15" x14ac:dyDescent="0.3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f t="array" ref="O1220">_xlfn.IFS(orders[[#This Row],[Customer Gender]]="M","Male", orders[[#This Row],[Customer Gender]]="F","Female", orders[[#This Row],[Customer Gender]]="O","Other", TRUE,"Unknown")</f>
        <v>Female</v>
      </c>
    </row>
    <row r="1221" spans="1:15" x14ac:dyDescent="0.3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f t="array" ref="O1221">_xlfn.IFS(orders[[#This Row],[Customer Gender]]="M","Male", orders[[#This Row],[Customer Gender]]="F","Female", orders[[#This Row],[Customer Gender]]="O","Other", TRUE,"Unknown")</f>
        <v>Male</v>
      </c>
    </row>
    <row r="1222" spans="1:15" x14ac:dyDescent="0.3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f t="array" ref="O1222">_xlfn.IFS(orders[[#This Row],[Customer Gender]]="M","Male", orders[[#This Row],[Customer Gender]]="F","Female", orders[[#This Row],[Customer Gender]]="O","Other", TRUE,"Unknown")</f>
        <v>Male</v>
      </c>
    </row>
    <row r="1223" spans="1:15" x14ac:dyDescent="0.3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f t="array" ref="O1223">_xlfn.IFS(orders[[#This Row],[Customer Gender]]="M","Male", orders[[#This Row],[Customer Gender]]="F","Female", orders[[#This Row],[Customer Gender]]="O","Other", TRUE,"Unknown")</f>
        <v>Female</v>
      </c>
    </row>
    <row r="1224" spans="1:15" x14ac:dyDescent="0.3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f t="array" ref="O1224">_xlfn.IFS(orders[[#This Row],[Customer Gender]]="M","Male", orders[[#This Row],[Customer Gender]]="F","Female", orders[[#This Row],[Customer Gender]]="O","Other", TRUE,"Unknown")</f>
        <v>Female</v>
      </c>
    </row>
    <row r="1225" spans="1:15" x14ac:dyDescent="0.3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f t="array" ref="O1225">_xlfn.IFS(orders[[#This Row],[Customer Gender]]="M","Male", orders[[#This Row],[Customer Gender]]="F","Female", orders[[#This Row],[Customer Gender]]="O","Other", TRUE,"Unknown")</f>
        <v>Male</v>
      </c>
    </row>
    <row r="1226" spans="1:15" x14ac:dyDescent="0.3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f t="array" ref="O1226">_xlfn.IFS(orders[[#This Row],[Customer Gender]]="M","Male", orders[[#This Row],[Customer Gender]]="F","Female", orders[[#This Row],[Customer Gender]]="O","Other", TRUE,"Unknown")</f>
        <v>Male</v>
      </c>
    </row>
    <row r="1227" spans="1:15" x14ac:dyDescent="0.3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f t="array" ref="O1227">_xlfn.IFS(orders[[#This Row],[Customer Gender]]="M","Male", orders[[#This Row],[Customer Gender]]="F","Female", orders[[#This Row],[Customer Gender]]="O","Other", TRUE,"Unknown")</f>
        <v>Unknown</v>
      </c>
    </row>
    <row r="1228" spans="1:15" x14ac:dyDescent="0.3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f t="array" ref="O1228">_xlfn.IFS(orders[[#This Row],[Customer Gender]]="M","Male", orders[[#This Row],[Customer Gender]]="F","Female", orders[[#This Row],[Customer Gender]]="O","Other", TRUE,"Unknown")</f>
        <v>Male</v>
      </c>
    </row>
    <row r="1229" spans="1:15" x14ac:dyDescent="0.3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f t="array" ref="O1229">_xlfn.IFS(orders[[#This Row],[Customer Gender]]="M","Male", orders[[#This Row],[Customer Gender]]="F","Female", orders[[#This Row],[Customer Gender]]="O","Other", TRUE,"Unknown")</f>
        <v>Female</v>
      </c>
    </row>
    <row r="1230" spans="1:15" x14ac:dyDescent="0.3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f t="array" ref="O1230">_xlfn.IFS(orders[[#This Row],[Customer Gender]]="M","Male", orders[[#This Row],[Customer Gender]]="F","Female", orders[[#This Row],[Customer Gender]]="O","Other", TRUE,"Unknown")</f>
        <v>Male</v>
      </c>
    </row>
    <row r="1231" spans="1:15" x14ac:dyDescent="0.3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f t="array" ref="O1231">_xlfn.IFS(orders[[#This Row],[Customer Gender]]="M","Male", orders[[#This Row],[Customer Gender]]="F","Female", orders[[#This Row],[Customer Gender]]="O","Other", TRUE,"Unknown")</f>
        <v>Female</v>
      </c>
    </row>
    <row r="1232" spans="1:15" x14ac:dyDescent="0.3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f t="array" ref="O1232">_xlfn.IFS(orders[[#This Row],[Customer Gender]]="M","Male", orders[[#This Row],[Customer Gender]]="F","Female", orders[[#This Row],[Customer Gender]]="O","Other", TRUE,"Unknown")</f>
        <v>Male</v>
      </c>
    </row>
    <row r="1233" spans="1:15" x14ac:dyDescent="0.3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f t="array" ref="O1233">_xlfn.IFS(orders[[#This Row],[Customer Gender]]="M","Male", orders[[#This Row],[Customer Gender]]="F","Female", orders[[#This Row],[Customer Gender]]="O","Other", TRUE,"Unknown")</f>
        <v>Male</v>
      </c>
    </row>
    <row r="1234" spans="1:15" x14ac:dyDescent="0.3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f t="array" ref="O1234">_xlfn.IFS(orders[[#This Row],[Customer Gender]]="M","Male", orders[[#This Row],[Customer Gender]]="F","Female", orders[[#This Row],[Customer Gender]]="O","Other", TRUE,"Unknown")</f>
        <v>Female</v>
      </c>
    </row>
    <row r="1235" spans="1:15" x14ac:dyDescent="0.3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f t="array" ref="O1235">_xlfn.IFS(orders[[#This Row],[Customer Gender]]="M","Male", orders[[#This Row],[Customer Gender]]="F","Female", orders[[#This Row],[Customer Gender]]="O","Other", TRUE,"Unknown")</f>
        <v>Other</v>
      </c>
    </row>
    <row r="1236" spans="1:15" x14ac:dyDescent="0.3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f t="array" ref="O1236">_xlfn.IFS(orders[[#This Row],[Customer Gender]]="M","Male", orders[[#This Row],[Customer Gender]]="F","Female", orders[[#This Row],[Customer Gender]]="O","Other", TRUE,"Unknown")</f>
        <v>Male</v>
      </c>
    </row>
    <row r="1237" spans="1:15" x14ac:dyDescent="0.3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f t="array" ref="O1237">_xlfn.IFS(orders[[#This Row],[Customer Gender]]="M","Male", orders[[#This Row],[Customer Gender]]="F","Female", orders[[#This Row],[Customer Gender]]="O","Other", TRUE,"Unknown")</f>
        <v>Other</v>
      </c>
    </row>
    <row r="1238" spans="1:15" x14ac:dyDescent="0.3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f t="array" ref="O1238">_xlfn.IFS(orders[[#This Row],[Customer Gender]]="M","Male", orders[[#This Row],[Customer Gender]]="F","Female", orders[[#This Row],[Customer Gender]]="O","Other", TRUE,"Unknown")</f>
        <v>Unknown</v>
      </c>
    </row>
    <row r="1239" spans="1:15" x14ac:dyDescent="0.3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f t="array" ref="O1239">_xlfn.IFS(orders[[#This Row],[Customer Gender]]="M","Male", orders[[#This Row],[Customer Gender]]="F","Female", orders[[#This Row],[Customer Gender]]="O","Other", TRUE,"Unknown")</f>
        <v>Female</v>
      </c>
    </row>
    <row r="1240" spans="1:15" x14ac:dyDescent="0.3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f t="array" ref="O1240">_xlfn.IFS(orders[[#This Row],[Customer Gender]]="M","Male", orders[[#This Row],[Customer Gender]]="F","Female", orders[[#This Row],[Customer Gender]]="O","Other", TRUE,"Unknown")</f>
        <v>Male</v>
      </c>
    </row>
    <row r="1241" spans="1:15" x14ac:dyDescent="0.3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f t="array" ref="O1241">_xlfn.IFS(orders[[#This Row],[Customer Gender]]="M","Male", orders[[#This Row],[Customer Gender]]="F","Female", orders[[#This Row],[Customer Gender]]="O","Other", TRUE,"Unknown")</f>
        <v>Female</v>
      </c>
    </row>
    <row r="1242" spans="1:15" x14ac:dyDescent="0.3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f t="array" ref="O1242">_xlfn.IFS(orders[[#This Row],[Customer Gender]]="M","Male", orders[[#This Row],[Customer Gender]]="F","Female", orders[[#This Row],[Customer Gender]]="O","Other", TRUE,"Unknown")</f>
        <v>Unknown</v>
      </c>
    </row>
    <row r="1243" spans="1:15" x14ac:dyDescent="0.3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f t="array" ref="O1243">_xlfn.IFS(orders[[#This Row],[Customer Gender]]="M","Male", orders[[#This Row],[Customer Gender]]="F","Female", orders[[#This Row],[Customer Gender]]="O","Other", TRUE,"Unknown")</f>
        <v>Female</v>
      </c>
    </row>
    <row r="1244" spans="1:15" x14ac:dyDescent="0.3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f t="array" ref="O1244">_xlfn.IFS(orders[[#This Row],[Customer Gender]]="M","Male", orders[[#This Row],[Customer Gender]]="F","Female", orders[[#This Row],[Customer Gender]]="O","Other", TRUE,"Unknown")</f>
        <v>Female</v>
      </c>
    </row>
    <row r="1245" spans="1:15" x14ac:dyDescent="0.3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f t="array" ref="O1245">_xlfn.IFS(orders[[#This Row],[Customer Gender]]="M","Male", orders[[#This Row],[Customer Gender]]="F","Female", orders[[#This Row],[Customer Gender]]="O","Other", TRUE,"Unknown")</f>
        <v>Female</v>
      </c>
    </row>
    <row r="1246" spans="1:15" x14ac:dyDescent="0.3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f t="array" ref="O1246">_xlfn.IFS(orders[[#This Row],[Customer Gender]]="M","Male", orders[[#This Row],[Customer Gender]]="F","Female", orders[[#This Row],[Customer Gender]]="O","Other", TRUE,"Unknown")</f>
        <v>Female</v>
      </c>
    </row>
    <row r="1247" spans="1:15" x14ac:dyDescent="0.3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f t="array" ref="O1247">_xlfn.IFS(orders[[#This Row],[Customer Gender]]="M","Male", orders[[#This Row],[Customer Gender]]="F","Female", orders[[#This Row],[Customer Gender]]="O","Other", TRUE,"Unknown")</f>
        <v>Male</v>
      </c>
    </row>
    <row r="1248" spans="1:15" x14ac:dyDescent="0.3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f t="array" ref="O1248">_xlfn.IFS(orders[[#This Row],[Customer Gender]]="M","Male", orders[[#This Row],[Customer Gender]]="F","Female", orders[[#This Row],[Customer Gender]]="O","Other", TRUE,"Unknown")</f>
        <v>Male</v>
      </c>
    </row>
    <row r="1249" spans="1:15" x14ac:dyDescent="0.3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f t="array" ref="O1249">_xlfn.IFS(orders[[#This Row],[Customer Gender]]="M","Male", orders[[#This Row],[Customer Gender]]="F","Female", orders[[#This Row],[Customer Gender]]="O","Other", TRUE,"Unknown")</f>
        <v>Female</v>
      </c>
    </row>
    <row r="1250" spans="1:15" x14ac:dyDescent="0.3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f t="array" ref="O1250">_xlfn.IFS(orders[[#This Row],[Customer Gender]]="M","Male", orders[[#This Row],[Customer Gender]]="F","Female", orders[[#This Row],[Customer Gender]]="O","Other", TRUE,"Unknown")</f>
        <v>Male</v>
      </c>
    </row>
    <row r="1251" spans="1:15" x14ac:dyDescent="0.3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f t="array" ref="O1251">_xlfn.IFS(orders[[#This Row],[Customer Gender]]="M","Male", orders[[#This Row],[Customer Gender]]="F","Female", orders[[#This Row],[Customer Gender]]="O","Other", TRUE,"Unknown")</f>
        <v>Female</v>
      </c>
    </row>
    <row r="1252" spans="1:15" x14ac:dyDescent="0.3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f t="array" ref="O1252">_xlfn.IFS(orders[[#This Row],[Customer Gender]]="M","Male", orders[[#This Row],[Customer Gender]]="F","Female", orders[[#This Row],[Customer Gender]]="O","Other", TRUE,"Unknown")</f>
        <v>Male</v>
      </c>
    </row>
    <row r="1253" spans="1:15" x14ac:dyDescent="0.3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f t="array" ref="O1253">_xlfn.IFS(orders[[#This Row],[Customer Gender]]="M","Male", orders[[#This Row],[Customer Gender]]="F","Female", orders[[#This Row],[Customer Gender]]="O","Other", TRUE,"Unknown")</f>
        <v>Unknown</v>
      </c>
    </row>
    <row r="1254" spans="1:15" x14ac:dyDescent="0.3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f t="array" ref="O1254">_xlfn.IFS(orders[[#This Row],[Customer Gender]]="M","Male", orders[[#This Row],[Customer Gender]]="F","Female", orders[[#This Row],[Customer Gender]]="O","Other", TRUE,"Unknown")</f>
        <v>Female</v>
      </c>
    </row>
    <row r="1255" spans="1:15" x14ac:dyDescent="0.3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f t="array" ref="O1255">_xlfn.IFS(orders[[#This Row],[Customer Gender]]="M","Male", orders[[#This Row],[Customer Gender]]="F","Female", orders[[#This Row],[Customer Gender]]="O","Other", TRUE,"Unknown")</f>
        <v>Female</v>
      </c>
    </row>
    <row r="1256" spans="1:15" x14ac:dyDescent="0.3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f t="array" ref="O1256">_xlfn.IFS(orders[[#This Row],[Customer Gender]]="M","Male", orders[[#This Row],[Customer Gender]]="F","Female", orders[[#This Row],[Customer Gender]]="O","Other", TRUE,"Unknown")</f>
        <v>Female</v>
      </c>
    </row>
    <row r="1257" spans="1:15" x14ac:dyDescent="0.3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f t="array" ref="O1257">_xlfn.IFS(orders[[#This Row],[Customer Gender]]="M","Male", orders[[#This Row],[Customer Gender]]="F","Female", orders[[#This Row],[Customer Gender]]="O","Other", TRUE,"Unknown")</f>
        <v>Female</v>
      </c>
    </row>
    <row r="1258" spans="1:15" x14ac:dyDescent="0.3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f t="array" ref="O1258">_xlfn.IFS(orders[[#This Row],[Customer Gender]]="M","Male", orders[[#This Row],[Customer Gender]]="F","Female", orders[[#This Row],[Customer Gender]]="O","Other", TRUE,"Unknown")</f>
        <v>Male</v>
      </c>
    </row>
    <row r="1259" spans="1:15" x14ac:dyDescent="0.3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f t="array" ref="O1259">_xlfn.IFS(orders[[#This Row],[Customer Gender]]="M","Male", orders[[#This Row],[Customer Gender]]="F","Female", orders[[#This Row],[Customer Gender]]="O","Other", TRUE,"Unknown")</f>
        <v>Male</v>
      </c>
    </row>
    <row r="1260" spans="1:15" x14ac:dyDescent="0.3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f t="array" ref="O1260">_xlfn.IFS(orders[[#This Row],[Customer Gender]]="M","Male", orders[[#This Row],[Customer Gender]]="F","Female", orders[[#This Row],[Customer Gender]]="O","Other", TRUE,"Unknown")</f>
        <v>Male</v>
      </c>
    </row>
    <row r="1261" spans="1:15" x14ac:dyDescent="0.3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f t="array" ref="O1261">_xlfn.IFS(orders[[#This Row],[Customer Gender]]="M","Male", orders[[#This Row],[Customer Gender]]="F","Female", orders[[#This Row],[Customer Gender]]="O","Other", TRUE,"Unknown")</f>
        <v>Male</v>
      </c>
    </row>
    <row r="1262" spans="1:15" x14ac:dyDescent="0.3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f t="array" ref="O1262">_xlfn.IFS(orders[[#This Row],[Customer Gender]]="M","Male", orders[[#This Row],[Customer Gender]]="F","Female", orders[[#This Row],[Customer Gender]]="O","Other", TRUE,"Unknown")</f>
        <v>Male</v>
      </c>
    </row>
    <row r="1263" spans="1:15" x14ac:dyDescent="0.3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f t="array" ref="O1263">_xlfn.IFS(orders[[#This Row],[Customer Gender]]="M","Male", orders[[#This Row],[Customer Gender]]="F","Female", orders[[#This Row],[Customer Gender]]="O","Other", TRUE,"Unknown")</f>
        <v>Male</v>
      </c>
    </row>
    <row r="1264" spans="1:15" x14ac:dyDescent="0.3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f t="array" ref="O1264">_xlfn.IFS(orders[[#This Row],[Customer Gender]]="M","Male", orders[[#This Row],[Customer Gender]]="F","Female", orders[[#This Row],[Customer Gender]]="O","Other", TRUE,"Unknown")</f>
        <v>Male</v>
      </c>
    </row>
    <row r="1265" spans="1:15" x14ac:dyDescent="0.3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f t="array" ref="O1265">_xlfn.IFS(orders[[#This Row],[Customer Gender]]="M","Male", orders[[#This Row],[Customer Gender]]="F","Female", orders[[#This Row],[Customer Gender]]="O","Other", TRUE,"Unknown")</f>
        <v>Male</v>
      </c>
    </row>
    <row r="1266" spans="1:15" x14ac:dyDescent="0.3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f t="array" ref="O1266">_xlfn.IFS(orders[[#This Row],[Customer Gender]]="M","Male", orders[[#This Row],[Customer Gender]]="F","Female", orders[[#This Row],[Customer Gender]]="O","Other", TRUE,"Unknown")</f>
        <v>Female</v>
      </c>
    </row>
    <row r="1267" spans="1:15" x14ac:dyDescent="0.3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f t="array" ref="O1267">_xlfn.IFS(orders[[#This Row],[Customer Gender]]="M","Male", orders[[#This Row],[Customer Gender]]="F","Female", orders[[#This Row],[Customer Gender]]="O","Other", TRUE,"Unknown")</f>
        <v>Female</v>
      </c>
    </row>
    <row r="1268" spans="1:15" x14ac:dyDescent="0.3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f t="array" ref="O1268">_xlfn.IFS(orders[[#This Row],[Customer Gender]]="M","Male", orders[[#This Row],[Customer Gender]]="F","Female", orders[[#This Row],[Customer Gender]]="O","Other", TRUE,"Unknown")</f>
        <v>Male</v>
      </c>
    </row>
    <row r="1269" spans="1:15" x14ac:dyDescent="0.3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f t="array" ref="O1269">_xlfn.IFS(orders[[#This Row],[Customer Gender]]="M","Male", orders[[#This Row],[Customer Gender]]="F","Female", orders[[#This Row],[Customer Gender]]="O","Other", TRUE,"Unknown")</f>
        <v>Male</v>
      </c>
    </row>
    <row r="1270" spans="1:15" x14ac:dyDescent="0.3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f t="array" ref="O1270">_xlfn.IFS(orders[[#This Row],[Customer Gender]]="M","Male", orders[[#This Row],[Customer Gender]]="F","Female", orders[[#This Row],[Customer Gender]]="O","Other", TRUE,"Unknown")</f>
        <v>Female</v>
      </c>
    </row>
    <row r="1271" spans="1:15" x14ac:dyDescent="0.3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f t="array" ref="O1271">_xlfn.IFS(orders[[#This Row],[Customer Gender]]="M","Male", orders[[#This Row],[Customer Gender]]="F","Female", orders[[#This Row],[Customer Gender]]="O","Other", TRUE,"Unknown")</f>
        <v>Female</v>
      </c>
    </row>
    <row r="1272" spans="1:15" x14ac:dyDescent="0.3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f t="array" ref="O1272">_xlfn.IFS(orders[[#This Row],[Customer Gender]]="M","Male", orders[[#This Row],[Customer Gender]]="F","Female", orders[[#This Row],[Customer Gender]]="O","Other", TRUE,"Unknown")</f>
        <v>Female</v>
      </c>
    </row>
    <row r="1273" spans="1:15" x14ac:dyDescent="0.3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f t="array" ref="O1273">_xlfn.IFS(orders[[#This Row],[Customer Gender]]="M","Male", orders[[#This Row],[Customer Gender]]="F","Female", orders[[#This Row],[Customer Gender]]="O","Other", TRUE,"Unknown")</f>
        <v>Male</v>
      </c>
    </row>
    <row r="1274" spans="1:15" x14ac:dyDescent="0.3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f t="array" ref="O1274">_xlfn.IFS(orders[[#This Row],[Customer Gender]]="M","Male", orders[[#This Row],[Customer Gender]]="F","Female", orders[[#This Row],[Customer Gender]]="O","Other", TRUE,"Unknown")</f>
        <v>Male</v>
      </c>
    </row>
    <row r="1275" spans="1:15" x14ac:dyDescent="0.3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f t="array" ref="O1275">_xlfn.IFS(orders[[#This Row],[Customer Gender]]="M","Male", orders[[#This Row],[Customer Gender]]="F","Female", orders[[#This Row],[Customer Gender]]="O","Other", TRUE,"Unknown")</f>
        <v>Female</v>
      </c>
    </row>
    <row r="1276" spans="1:15" x14ac:dyDescent="0.3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f t="array" ref="O1276">_xlfn.IFS(orders[[#This Row],[Customer Gender]]="M","Male", orders[[#This Row],[Customer Gender]]="F","Female", orders[[#This Row],[Customer Gender]]="O","Other", TRUE,"Unknown")</f>
        <v>Female</v>
      </c>
    </row>
    <row r="1277" spans="1:15" x14ac:dyDescent="0.3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f t="array" ref="O1277">_xlfn.IFS(orders[[#This Row],[Customer Gender]]="M","Male", orders[[#This Row],[Customer Gender]]="F","Female", orders[[#This Row],[Customer Gender]]="O","Other", TRUE,"Unknown")</f>
        <v>Female</v>
      </c>
    </row>
    <row r="1278" spans="1:15" x14ac:dyDescent="0.3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f t="array" ref="O1278">_xlfn.IFS(orders[[#This Row],[Customer Gender]]="M","Male", orders[[#This Row],[Customer Gender]]="F","Female", orders[[#This Row],[Customer Gender]]="O","Other", TRUE,"Unknown")</f>
        <v>Female</v>
      </c>
    </row>
    <row r="1279" spans="1:15" x14ac:dyDescent="0.3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f t="array" ref="O1279">_xlfn.IFS(orders[[#This Row],[Customer Gender]]="M","Male", orders[[#This Row],[Customer Gender]]="F","Female", orders[[#This Row],[Customer Gender]]="O","Other", TRUE,"Unknown")</f>
        <v>Unknown</v>
      </c>
    </row>
    <row r="1280" spans="1:15" x14ac:dyDescent="0.3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f t="array" ref="O1280">_xlfn.IFS(orders[[#This Row],[Customer Gender]]="M","Male", orders[[#This Row],[Customer Gender]]="F","Female", orders[[#This Row],[Customer Gender]]="O","Other", TRUE,"Unknown")</f>
        <v>Female</v>
      </c>
    </row>
    <row r="1281" spans="1:15" x14ac:dyDescent="0.3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f t="array" ref="O1281">_xlfn.IFS(orders[[#This Row],[Customer Gender]]="M","Male", orders[[#This Row],[Customer Gender]]="F","Female", orders[[#This Row],[Customer Gender]]="O","Other", TRUE,"Unknown")</f>
        <v>Female</v>
      </c>
    </row>
    <row r="1282" spans="1:15" x14ac:dyDescent="0.3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f t="array" ref="O1282">_xlfn.IFS(orders[[#This Row],[Customer Gender]]="M","Male", orders[[#This Row],[Customer Gender]]="F","Female", orders[[#This Row],[Customer Gender]]="O","Other", TRUE,"Unknown")</f>
        <v>Female</v>
      </c>
    </row>
    <row r="1283" spans="1:15" x14ac:dyDescent="0.3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f t="array" ref="O1283">_xlfn.IFS(orders[[#This Row],[Customer Gender]]="M","Male", orders[[#This Row],[Customer Gender]]="F","Female", orders[[#This Row],[Customer Gender]]="O","Other", TRUE,"Unknown")</f>
        <v>Female</v>
      </c>
    </row>
    <row r="1284" spans="1:15" x14ac:dyDescent="0.3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f t="array" ref="O1284">_xlfn.IFS(orders[[#This Row],[Customer Gender]]="M","Male", orders[[#This Row],[Customer Gender]]="F","Female", orders[[#This Row],[Customer Gender]]="O","Other", TRUE,"Unknown")</f>
        <v>Male</v>
      </c>
    </row>
    <row r="1285" spans="1:15" x14ac:dyDescent="0.3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f t="array" ref="O1285">_xlfn.IFS(orders[[#This Row],[Customer Gender]]="M","Male", orders[[#This Row],[Customer Gender]]="F","Female", orders[[#This Row],[Customer Gender]]="O","Other", TRUE,"Unknown")</f>
        <v>Female</v>
      </c>
    </row>
    <row r="1286" spans="1:15" x14ac:dyDescent="0.3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f t="array" ref="O1286">_xlfn.IFS(orders[[#This Row],[Customer Gender]]="M","Male", orders[[#This Row],[Customer Gender]]="F","Female", orders[[#This Row],[Customer Gender]]="O","Other", TRUE,"Unknown")</f>
        <v>Male</v>
      </c>
    </row>
    <row r="1287" spans="1:15" x14ac:dyDescent="0.3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f t="array" ref="O1287">_xlfn.IFS(orders[[#This Row],[Customer Gender]]="M","Male", orders[[#This Row],[Customer Gender]]="F","Female", orders[[#This Row],[Customer Gender]]="O","Other", TRUE,"Unknown")</f>
        <v>Male</v>
      </c>
    </row>
    <row r="1288" spans="1:15" x14ac:dyDescent="0.3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f t="array" ref="O1288">_xlfn.IFS(orders[[#This Row],[Customer Gender]]="M","Male", orders[[#This Row],[Customer Gender]]="F","Female", orders[[#This Row],[Customer Gender]]="O","Other", TRUE,"Unknown")</f>
        <v>Male</v>
      </c>
    </row>
    <row r="1289" spans="1:15" x14ac:dyDescent="0.3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f t="array" ref="O1289">_xlfn.IFS(orders[[#This Row],[Customer Gender]]="M","Male", orders[[#This Row],[Customer Gender]]="F","Female", orders[[#This Row],[Customer Gender]]="O","Other", TRUE,"Unknown")</f>
        <v>Male</v>
      </c>
    </row>
    <row r="1290" spans="1:15" x14ac:dyDescent="0.3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f t="array" ref="O1290">_xlfn.IFS(orders[[#This Row],[Customer Gender]]="M","Male", orders[[#This Row],[Customer Gender]]="F","Female", orders[[#This Row],[Customer Gender]]="O","Other", TRUE,"Unknown")</f>
        <v>Male</v>
      </c>
    </row>
    <row r="1291" spans="1:15" x14ac:dyDescent="0.3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f t="array" ref="O1291">_xlfn.IFS(orders[[#This Row],[Customer Gender]]="M","Male", orders[[#This Row],[Customer Gender]]="F","Female", orders[[#This Row],[Customer Gender]]="O","Other", TRUE,"Unknown")</f>
        <v>Male</v>
      </c>
    </row>
    <row r="1292" spans="1:15" x14ac:dyDescent="0.3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f t="array" ref="O1292">_xlfn.IFS(orders[[#This Row],[Customer Gender]]="M","Male", orders[[#This Row],[Customer Gender]]="F","Female", orders[[#This Row],[Customer Gender]]="O","Other", TRUE,"Unknown")</f>
        <v>Male</v>
      </c>
    </row>
    <row r="1293" spans="1:15" x14ac:dyDescent="0.3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f t="array" ref="O1293">_xlfn.IFS(orders[[#This Row],[Customer Gender]]="M","Male", orders[[#This Row],[Customer Gender]]="F","Female", orders[[#This Row],[Customer Gender]]="O","Other", TRUE,"Unknown")</f>
        <v>Female</v>
      </c>
    </row>
    <row r="1294" spans="1:15" x14ac:dyDescent="0.3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f t="array" ref="O1294">_xlfn.IFS(orders[[#This Row],[Customer Gender]]="M","Male", orders[[#This Row],[Customer Gender]]="F","Female", orders[[#This Row],[Customer Gender]]="O","Other", TRUE,"Unknown")</f>
        <v>Male</v>
      </c>
    </row>
    <row r="1295" spans="1:15" x14ac:dyDescent="0.3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f t="array" ref="O1295">_xlfn.IFS(orders[[#This Row],[Customer Gender]]="M","Male", orders[[#This Row],[Customer Gender]]="F","Female", orders[[#This Row],[Customer Gender]]="O","Other", TRUE,"Unknown")</f>
        <v>Male</v>
      </c>
    </row>
    <row r="1296" spans="1:15" x14ac:dyDescent="0.3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f t="array" ref="O1296">_xlfn.IFS(orders[[#This Row],[Customer Gender]]="M","Male", orders[[#This Row],[Customer Gender]]="F","Female", orders[[#This Row],[Customer Gender]]="O","Other", TRUE,"Unknown")</f>
        <v>Unknown</v>
      </c>
    </row>
    <row r="1297" spans="1:15" x14ac:dyDescent="0.3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f t="array" ref="O1297">_xlfn.IFS(orders[[#This Row],[Customer Gender]]="M","Male", orders[[#This Row],[Customer Gender]]="F","Female", orders[[#This Row],[Customer Gender]]="O","Other", TRUE,"Unknown")</f>
        <v>Male</v>
      </c>
    </row>
    <row r="1298" spans="1:15" x14ac:dyDescent="0.3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f t="array" ref="O1298">_xlfn.IFS(orders[[#This Row],[Customer Gender]]="M","Male", orders[[#This Row],[Customer Gender]]="F","Female", orders[[#This Row],[Customer Gender]]="O","Other", TRUE,"Unknown")</f>
        <v>Female</v>
      </c>
    </row>
    <row r="1299" spans="1:15" x14ac:dyDescent="0.3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f t="array" ref="O1299">_xlfn.IFS(orders[[#This Row],[Customer Gender]]="M","Male", orders[[#This Row],[Customer Gender]]="F","Female", orders[[#This Row],[Customer Gender]]="O","Other", TRUE,"Unknown")</f>
        <v>Female</v>
      </c>
    </row>
    <row r="1300" spans="1:15" x14ac:dyDescent="0.3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f t="array" ref="O1300">_xlfn.IFS(orders[[#This Row],[Customer Gender]]="M","Male", orders[[#This Row],[Customer Gender]]="F","Female", orders[[#This Row],[Customer Gender]]="O","Other", TRUE,"Unknown")</f>
        <v>Female</v>
      </c>
    </row>
    <row r="1301" spans="1:15" x14ac:dyDescent="0.3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f t="array" ref="O1301">_xlfn.IFS(orders[[#This Row],[Customer Gender]]="M","Male", orders[[#This Row],[Customer Gender]]="F","Female", orders[[#This Row],[Customer Gender]]="O","Other", TRUE,"Unknown")</f>
        <v>Female</v>
      </c>
    </row>
    <row r="1302" spans="1:15" x14ac:dyDescent="0.3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f t="array" ref="O1302">_xlfn.IFS(orders[[#This Row],[Customer Gender]]="M","Male", orders[[#This Row],[Customer Gender]]="F","Female", orders[[#This Row],[Customer Gender]]="O","Other", TRUE,"Unknown")</f>
        <v>Female</v>
      </c>
    </row>
    <row r="1303" spans="1:15" x14ac:dyDescent="0.3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f t="array" ref="O1303">_xlfn.IFS(orders[[#This Row],[Customer Gender]]="M","Male", orders[[#This Row],[Customer Gender]]="F","Female", orders[[#This Row],[Customer Gender]]="O","Other", TRUE,"Unknown")</f>
        <v>Male</v>
      </c>
    </row>
    <row r="1304" spans="1:15" x14ac:dyDescent="0.3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f t="array" ref="O1304">_xlfn.IFS(orders[[#This Row],[Customer Gender]]="M","Male", orders[[#This Row],[Customer Gender]]="F","Female", orders[[#This Row],[Customer Gender]]="O","Other", TRUE,"Unknown")</f>
        <v>Male</v>
      </c>
    </row>
    <row r="1305" spans="1:15" x14ac:dyDescent="0.3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f t="array" ref="O1305">_xlfn.IFS(orders[[#This Row],[Customer Gender]]="M","Male", orders[[#This Row],[Customer Gender]]="F","Female", orders[[#This Row],[Customer Gender]]="O","Other", TRUE,"Unknown")</f>
        <v>Female</v>
      </c>
    </row>
    <row r="1306" spans="1:15" x14ac:dyDescent="0.3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f t="array" ref="O1306">_xlfn.IFS(orders[[#This Row],[Customer Gender]]="M","Male", orders[[#This Row],[Customer Gender]]="F","Female", orders[[#This Row],[Customer Gender]]="O","Other", TRUE,"Unknown")</f>
        <v>Female</v>
      </c>
    </row>
    <row r="1307" spans="1:15" x14ac:dyDescent="0.3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f t="array" ref="O1307">_xlfn.IFS(orders[[#This Row],[Customer Gender]]="M","Male", orders[[#This Row],[Customer Gender]]="F","Female", orders[[#This Row],[Customer Gender]]="O","Other", TRUE,"Unknown")</f>
        <v>Female</v>
      </c>
    </row>
    <row r="1308" spans="1:15" x14ac:dyDescent="0.3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f t="array" ref="O1308">_xlfn.IFS(orders[[#This Row],[Customer Gender]]="M","Male", orders[[#This Row],[Customer Gender]]="F","Female", orders[[#This Row],[Customer Gender]]="O","Other", TRUE,"Unknown")</f>
        <v>Male</v>
      </c>
    </row>
    <row r="1309" spans="1:15" x14ac:dyDescent="0.3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f t="array" ref="O1309">_xlfn.IFS(orders[[#This Row],[Customer Gender]]="M","Male", orders[[#This Row],[Customer Gender]]="F","Female", orders[[#This Row],[Customer Gender]]="O","Other", TRUE,"Unknown")</f>
        <v>Female</v>
      </c>
    </row>
    <row r="1310" spans="1:15" x14ac:dyDescent="0.3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f t="array" ref="O1310">_xlfn.IFS(orders[[#This Row],[Customer Gender]]="M","Male", orders[[#This Row],[Customer Gender]]="F","Female", orders[[#This Row],[Customer Gender]]="O","Other", TRUE,"Unknown")</f>
        <v>Male</v>
      </c>
    </row>
    <row r="1311" spans="1:15" x14ac:dyDescent="0.3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f t="array" ref="O1311">_xlfn.IFS(orders[[#This Row],[Customer Gender]]="M","Male", orders[[#This Row],[Customer Gender]]="F","Female", orders[[#This Row],[Customer Gender]]="O","Other", TRUE,"Unknown")</f>
        <v>Male</v>
      </c>
    </row>
    <row r="1312" spans="1:15" x14ac:dyDescent="0.3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f t="array" ref="O1312">_xlfn.IFS(orders[[#This Row],[Customer Gender]]="M","Male", orders[[#This Row],[Customer Gender]]="F","Female", orders[[#This Row],[Customer Gender]]="O","Other", TRUE,"Unknown")</f>
        <v>Male</v>
      </c>
    </row>
    <row r="1313" spans="1:15" x14ac:dyDescent="0.3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f t="array" ref="O1313">_xlfn.IFS(orders[[#This Row],[Customer Gender]]="M","Male", orders[[#This Row],[Customer Gender]]="F","Female", orders[[#This Row],[Customer Gender]]="O","Other", TRUE,"Unknown")</f>
        <v>Male</v>
      </c>
    </row>
    <row r="1314" spans="1:15" x14ac:dyDescent="0.3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f t="array" ref="O1314">_xlfn.IFS(orders[[#This Row],[Customer Gender]]="M","Male", orders[[#This Row],[Customer Gender]]="F","Female", orders[[#This Row],[Customer Gender]]="O","Other", TRUE,"Unknown")</f>
        <v>Female</v>
      </c>
    </row>
    <row r="1315" spans="1:15" x14ac:dyDescent="0.3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f t="array" ref="O1315">_xlfn.IFS(orders[[#This Row],[Customer Gender]]="M","Male", orders[[#This Row],[Customer Gender]]="F","Female", orders[[#This Row],[Customer Gender]]="O","Other", TRUE,"Unknown")</f>
        <v>Female</v>
      </c>
    </row>
    <row r="1316" spans="1:15" x14ac:dyDescent="0.3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f t="array" ref="O1316">_xlfn.IFS(orders[[#This Row],[Customer Gender]]="M","Male", orders[[#This Row],[Customer Gender]]="F","Female", orders[[#This Row],[Customer Gender]]="O","Other", TRUE,"Unknown")</f>
        <v>Female</v>
      </c>
    </row>
    <row r="1317" spans="1:15" x14ac:dyDescent="0.3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f t="array" ref="O1317">_xlfn.IFS(orders[[#This Row],[Customer Gender]]="M","Male", orders[[#This Row],[Customer Gender]]="F","Female", orders[[#This Row],[Customer Gender]]="O","Other", TRUE,"Unknown")</f>
        <v>Unknown</v>
      </c>
    </row>
    <row r="1318" spans="1:15" x14ac:dyDescent="0.3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f t="array" ref="O1318">_xlfn.IFS(orders[[#This Row],[Customer Gender]]="M","Male", orders[[#This Row],[Customer Gender]]="F","Female", orders[[#This Row],[Customer Gender]]="O","Other", TRUE,"Unknown")</f>
        <v>Female</v>
      </c>
    </row>
    <row r="1319" spans="1:15" x14ac:dyDescent="0.3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f t="array" ref="O1319">_xlfn.IFS(orders[[#This Row],[Customer Gender]]="M","Male", orders[[#This Row],[Customer Gender]]="F","Female", orders[[#This Row],[Customer Gender]]="O","Other", TRUE,"Unknown")</f>
        <v>Female</v>
      </c>
    </row>
    <row r="1320" spans="1:15" x14ac:dyDescent="0.3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f t="array" ref="O1320">_xlfn.IFS(orders[[#This Row],[Customer Gender]]="M","Male", orders[[#This Row],[Customer Gender]]="F","Female", orders[[#This Row],[Customer Gender]]="O","Other", TRUE,"Unknown")</f>
        <v>Male</v>
      </c>
    </row>
    <row r="1321" spans="1:15" x14ac:dyDescent="0.3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f t="array" ref="O1321">_xlfn.IFS(orders[[#This Row],[Customer Gender]]="M","Male", orders[[#This Row],[Customer Gender]]="F","Female", orders[[#This Row],[Customer Gender]]="O","Other", TRUE,"Unknown")</f>
        <v>Male</v>
      </c>
    </row>
    <row r="1322" spans="1:15" x14ac:dyDescent="0.3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f t="array" ref="O1322">_xlfn.IFS(orders[[#This Row],[Customer Gender]]="M","Male", orders[[#This Row],[Customer Gender]]="F","Female", orders[[#This Row],[Customer Gender]]="O","Other", TRUE,"Unknown")</f>
        <v>Male</v>
      </c>
    </row>
    <row r="1323" spans="1:15" x14ac:dyDescent="0.3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f t="array" ref="O1323">_xlfn.IFS(orders[[#This Row],[Customer Gender]]="M","Male", orders[[#This Row],[Customer Gender]]="F","Female", orders[[#This Row],[Customer Gender]]="O","Other", TRUE,"Unknown")</f>
        <v>Male</v>
      </c>
    </row>
    <row r="1324" spans="1:15" x14ac:dyDescent="0.3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f t="array" ref="O1324">_xlfn.IFS(orders[[#This Row],[Customer Gender]]="M","Male", orders[[#This Row],[Customer Gender]]="F","Female", orders[[#This Row],[Customer Gender]]="O","Other", TRUE,"Unknown")</f>
        <v>Female</v>
      </c>
    </row>
    <row r="1325" spans="1:15" x14ac:dyDescent="0.3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f t="array" ref="O1325">_xlfn.IFS(orders[[#This Row],[Customer Gender]]="M","Male", orders[[#This Row],[Customer Gender]]="F","Female", orders[[#This Row],[Customer Gender]]="O","Other", TRUE,"Unknown")</f>
        <v>Male</v>
      </c>
    </row>
    <row r="1326" spans="1:15" x14ac:dyDescent="0.3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f t="array" ref="O1326">_xlfn.IFS(orders[[#This Row],[Customer Gender]]="M","Male", orders[[#This Row],[Customer Gender]]="F","Female", orders[[#This Row],[Customer Gender]]="O","Other", TRUE,"Unknown")</f>
        <v>Male</v>
      </c>
    </row>
    <row r="1327" spans="1:15" x14ac:dyDescent="0.3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f t="array" ref="O1327">_xlfn.IFS(orders[[#This Row],[Customer Gender]]="M","Male", orders[[#This Row],[Customer Gender]]="F","Female", orders[[#This Row],[Customer Gender]]="O","Other", TRUE,"Unknown")</f>
        <v>Male</v>
      </c>
    </row>
    <row r="1328" spans="1:15" x14ac:dyDescent="0.3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f t="array" ref="O1328">_xlfn.IFS(orders[[#This Row],[Customer Gender]]="M","Male", orders[[#This Row],[Customer Gender]]="F","Female", orders[[#This Row],[Customer Gender]]="O","Other", TRUE,"Unknown")</f>
        <v>Male</v>
      </c>
    </row>
    <row r="1329" spans="1:15" x14ac:dyDescent="0.3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f t="array" ref="O1329">_xlfn.IFS(orders[[#This Row],[Customer Gender]]="M","Male", orders[[#This Row],[Customer Gender]]="F","Female", orders[[#This Row],[Customer Gender]]="O","Other", TRUE,"Unknown")</f>
        <v>Female</v>
      </c>
    </row>
    <row r="1330" spans="1:15" x14ac:dyDescent="0.3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f t="array" ref="O1330">_xlfn.IFS(orders[[#This Row],[Customer Gender]]="M","Male", orders[[#This Row],[Customer Gender]]="F","Female", orders[[#This Row],[Customer Gender]]="O","Other", TRUE,"Unknown")</f>
        <v>Male</v>
      </c>
    </row>
    <row r="1331" spans="1:15" x14ac:dyDescent="0.3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f t="array" ref="O1331">_xlfn.IFS(orders[[#This Row],[Customer Gender]]="M","Male", orders[[#This Row],[Customer Gender]]="F","Female", orders[[#This Row],[Customer Gender]]="O","Other", TRUE,"Unknown")</f>
        <v>Unknown</v>
      </c>
    </row>
    <row r="1332" spans="1:15" x14ac:dyDescent="0.3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f t="array" ref="O1332">_xlfn.IFS(orders[[#This Row],[Customer Gender]]="M","Male", orders[[#This Row],[Customer Gender]]="F","Female", orders[[#This Row],[Customer Gender]]="O","Other", TRUE,"Unknown")</f>
        <v>Male</v>
      </c>
    </row>
    <row r="1333" spans="1:15" x14ac:dyDescent="0.3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f t="array" ref="O1333">_xlfn.IFS(orders[[#This Row],[Customer Gender]]="M","Male", orders[[#This Row],[Customer Gender]]="F","Female", orders[[#This Row],[Customer Gender]]="O","Other", TRUE,"Unknown")</f>
        <v>Female</v>
      </c>
    </row>
    <row r="1334" spans="1:15" x14ac:dyDescent="0.3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f t="array" ref="O1334">_xlfn.IFS(orders[[#This Row],[Customer Gender]]="M","Male", orders[[#This Row],[Customer Gender]]="F","Female", orders[[#This Row],[Customer Gender]]="O","Other", TRUE,"Unknown")</f>
        <v>Female</v>
      </c>
    </row>
    <row r="1335" spans="1:15" x14ac:dyDescent="0.3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f t="array" ref="O1335">_xlfn.IFS(orders[[#This Row],[Customer Gender]]="M","Male", orders[[#This Row],[Customer Gender]]="F","Female", orders[[#This Row],[Customer Gender]]="O","Other", TRUE,"Unknown")</f>
        <v>Male</v>
      </c>
    </row>
    <row r="1336" spans="1:15" x14ac:dyDescent="0.3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f t="array" ref="O1336">_xlfn.IFS(orders[[#This Row],[Customer Gender]]="M","Male", orders[[#This Row],[Customer Gender]]="F","Female", orders[[#This Row],[Customer Gender]]="O","Other", TRUE,"Unknown")</f>
        <v>Female</v>
      </c>
    </row>
    <row r="1337" spans="1:15" x14ac:dyDescent="0.3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f t="array" ref="O1337">_xlfn.IFS(orders[[#This Row],[Customer Gender]]="M","Male", orders[[#This Row],[Customer Gender]]="F","Female", orders[[#This Row],[Customer Gender]]="O","Other", TRUE,"Unknown")</f>
        <v>Male</v>
      </c>
    </row>
    <row r="1338" spans="1:15" x14ac:dyDescent="0.3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f t="array" ref="O1338">_xlfn.IFS(orders[[#This Row],[Customer Gender]]="M","Male", orders[[#This Row],[Customer Gender]]="F","Female", orders[[#This Row],[Customer Gender]]="O","Other", TRUE,"Unknown")</f>
        <v>Male</v>
      </c>
    </row>
    <row r="1339" spans="1:15" x14ac:dyDescent="0.3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f t="array" ref="O1339">_xlfn.IFS(orders[[#This Row],[Customer Gender]]="M","Male", orders[[#This Row],[Customer Gender]]="F","Female", orders[[#This Row],[Customer Gender]]="O","Other", TRUE,"Unknown")</f>
        <v>Male</v>
      </c>
    </row>
    <row r="1340" spans="1:15" x14ac:dyDescent="0.3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f t="array" ref="O1340">_xlfn.IFS(orders[[#This Row],[Customer Gender]]="M","Male", orders[[#This Row],[Customer Gender]]="F","Female", orders[[#This Row],[Customer Gender]]="O","Other", TRUE,"Unknown")</f>
        <v>Male</v>
      </c>
    </row>
    <row r="1341" spans="1:15" x14ac:dyDescent="0.3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f t="array" ref="O1341">_xlfn.IFS(orders[[#This Row],[Customer Gender]]="M","Male", orders[[#This Row],[Customer Gender]]="F","Female", orders[[#This Row],[Customer Gender]]="O","Other", TRUE,"Unknown")</f>
        <v>Female</v>
      </c>
    </row>
    <row r="1342" spans="1:15" x14ac:dyDescent="0.3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f t="array" ref="O1342">_xlfn.IFS(orders[[#This Row],[Customer Gender]]="M","Male", orders[[#This Row],[Customer Gender]]="F","Female", orders[[#This Row],[Customer Gender]]="O","Other", TRUE,"Unknown")</f>
        <v>Male</v>
      </c>
    </row>
    <row r="1343" spans="1:15" x14ac:dyDescent="0.3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f t="array" ref="O1343">_xlfn.IFS(orders[[#This Row],[Customer Gender]]="M","Male", orders[[#This Row],[Customer Gender]]="F","Female", orders[[#This Row],[Customer Gender]]="O","Other", TRUE,"Unknown")</f>
        <v>Male</v>
      </c>
    </row>
    <row r="1344" spans="1:15" x14ac:dyDescent="0.3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f t="array" ref="O1344">_xlfn.IFS(orders[[#This Row],[Customer Gender]]="M","Male", orders[[#This Row],[Customer Gender]]="F","Female", orders[[#This Row],[Customer Gender]]="O","Other", TRUE,"Unknown")</f>
        <v>Male</v>
      </c>
    </row>
    <row r="1345" spans="1:15" x14ac:dyDescent="0.3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f t="array" ref="O1345">_xlfn.IFS(orders[[#This Row],[Customer Gender]]="M","Male", orders[[#This Row],[Customer Gender]]="F","Female", orders[[#This Row],[Customer Gender]]="O","Other", TRUE,"Unknown")</f>
        <v>Female</v>
      </c>
    </row>
    <row r="1346" spans="1:15" x14ac:dyDescent="0.3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f t="array" ref="O1346">_xlfn.IFS(orders[[#This Row],[Customer Gender]]="M","Male", orders[[#This Row],[Customer Gender]]="F","Female", orders[[#This Row],[Customer Gender]]="O","Other", TRUE,"Unknown")</f>
        <v>Male</v>
      </c>
    </row>
    <row r="1347" spans="1:15" x14ac:dyDescent="0.3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f t="array" ref="O1347">_xlfn.IFS(orders[[#This Row],[Customer Gender]]="M","Male", orders[[#This Row],[Customer Gender]]="F","Female", orders[[#This Row],[Customer Gender]]="O","Other", TRUE,"Unknown")</f>
        <v>Female</v>
      </c>
    </row>
    <row r="1348" spans="1:15" x14ac:dyDescent="0.3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f t="array" ref="O1348">_xlfn.IFS(orders[[#This Row],[Customer Gender]]="M","Male", orders[[#This Row],[Customer Gender]]="F","Female", orders[[#This Row],[Customer Gender]]="O","Other", TRUE,"Unknown")</f>
        <v>Female</v>
      </c>
    </row>
    <row r="1349" spans="1:15" x14ac:dyDescent="0.3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f t="array" ref="O1349">_xlfn.IFS(orders[[#This Row],[Customer Gender]]="M","Male", orders[[#This Row],[Customer Gender]]="F","Female", orders[[#This Row],[Customer Gender]]="O","Other", TRUE,"Unknown")</f>
        <v>Female</v>
      </c>
    </row>
    <row r="1350" spans="1:15" x14ac:dyDescent="0.3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f t="array" ref="O1350">_xlfn.IFS(orders[[#This Row],[Customer Gender]]="M","Male", orders[[#This Row],[Customer Gender]]="F","Female", orders[[#This Row],[Customer Gender]]="O","Other", TRUE,"Unknown")</f>
        <v>Male</v>
      </c>
    </row>
    <row r="1351" spans="1:15" x14ac:dyDescent="0.3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f t="array" ref="O1351">_xlfn.IFS(orders[[#This Row],[Customer Gender]]="M","Male", orders[[#This Row],[Customer Gender]]="F","Female", orders[[#This Row],[Customer Gender]]="O","Other", TRUE,"Unknown")</f>
        <v>Other</v>
      </c>
    </row>
    <row r="1352" spans="1:15" x14ac:dyDescent="0.3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f t="array" ref="O1352">_xlfn.IFS(orders[[#This Row],[Customer Gender]]="M","Male", orders[[#This Row],[Customer Gender]]="F","Female", orders[[#This Row],[Customer Gender]]="O","Other", TRUE,"Unknown")</f>
        <v>Female</v>
      </c>
    </row>
    <row r="1353" spans="1:15" x14ac:dyDescent="0.3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f t="array" ref="O1353">_xlfn.IFS(orders[[#This Row],[Customer Gender]]="M","Male", orders[[#This Row],[Customer Gender]]="F","Female", orders[[#This Row],[Customer Gender]]="O","Other", TRUE,"Unknown")</f>
        <v>Male</v>
      </c>
    </row>
    <row r="1354" spans="1:15" x14ac:dyDescent="0.3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f t="array" ref="O1354">_xlfn.IFS(orders[[#This Row],[Customer Gender]]="M","Male", orders[[#This Row],[Customer Gender]]="F","Female", orders[[#This Row],[Customer Gender]]="O","Other", TRUE,"Unknown")</f>
        <v>Female</v>
      </c>
    </row>
    <row r="1355" spans="1:15" x14ac:dyDescent="0.3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f t="array" ref="O1355">_xlfn.IFS(orders[[#This Row],[Customer Gender]]="M","Male", orders[[#This Row],[Customer Gender]]="F","Female", orders[[#This Row],[Customer Gender]]="O","Other", TRUE,"Unknown")</f>
        <v>Male</v>
      </c>
    </row>
    <row r="1356" spans="1:15" x14ac:dyDescent="0.3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f t="array" ref="O1356">_xlfn.IFS(orders[[#This Row],[Customer Gender]]="M","Male", orders[[#This Row],[Customer Gender]]="F","Female", orders[[#This Row],[Customer Gender]]="O","Other", TRUE,"Unknown")</f>
        <v>Male</v>
      </c>
    </row>
    <row r="1357" spans="1:15" x14ac:dyDescent="0.3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f t="array" ref="O1357">_xlfn.IFS(orders[[#This Row],[Customer Gender]]="M","Male", orders[[#This Row],[Customer Gender]]="F","Female", orders[[#This Row],[Customer Gender]]="O","Other", TRUE,"Unknown")</f>
        <v>Female</v>
      </c>
    </row>
    <row r="1358" spans="1:15" x14ac:dyDescent="0.3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f t="array" ref="O1358">_xlfn.IFS(orders[[#This Row],[Customer Gender]]="M","Male", orders[[#This Row],[Customer Gender]]="F","Female", orders[[#This Row],[Customer Gender]]="O","Other", TRUE,"Unknown")</f>
        <v>Female</v>
      </c>
    </row>
    <row r="1359" spans="1:15" x14ac:dyDescent="0.3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f t="array" ref="O1359">_xlfn.IFS(orders[[#This Row],[Customer Gender]]="M","Male", orders[[#This Row],[Customer Gender]]="F","Female", orders[[#This Row],[Customer Gender]]="O","Other", TRUE,"Unknown")</f>
        <v>Male</v>
      </c>
    </row>
    <row r="1360" spans="1:15" x14ac:dyDescent="0.3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f t="array" ref="O1360">_xlfn.IFS(orders[[#This Row],[Customer Gender]]="M","Male", orders[[#This Row],[Customer Gender]]="F","Female", orders[[#This Row],[Customer Gender]]="O","Other", TRUE,"Unknown")</f>
        <v>Unknown</v>
      </c>
    </row>
    <row r="1361" spans="1:15" x14ac:dyDescent="0.3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f t="array" ref="O1361">_xlfn.IFS(orders[[#This Row],[Customer Gender]]="M","Male", orders[[#This Row],[Customer Gender]]="F","Female", orders[[#This Row],[Customer Gender]]="O","Other", TRUE,"Unknown")</f>
        <v>Male</v>
      </c>
    </row>
    <row r="1362" spans="1:15" x14ac:dyDescent="0.3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f t="array" ref="O1362">_xlfn.IFS(orders[[#This Row],[Customer Gender]]="M","Male", orders[[#This Row],[Customer Gender]]="F","Female", orders[[#This Row],[Customer Gender]]="O","Other", TRUE,"Unknown")</f>
        <v>Female</v>
      </c>
    </row>
    <row r="1363" spans="1:15" x14ac:dyDescent="0.3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f t="array" ref="O1363">_xlfn.IFS(orders[[#This Row],[Customer Gender]]="M","Male", orders[[#This Row],[Customer Gender]]="F","Female", orders[[#This Row],[Customer Gender]]="O","Other", TRUE,"Unknown")</f>
        <v>Male</v>
      </c>
    </row>
    <row r="1364" spans="1:15" x14ac:dyDescent="0.3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f t="array" ref="O1364">_xlfn.IFS(orders[[#This Row],[Customer Gender]]="M","Male", orders[[#This Row],[Customer Gender]]="F","Female", orders[[#This Row],[Customer Gender]]="O","Other", TRUE,"Unknown")</f>
        <v>Unknown</v>
      </c>
    </row>
    <row r="1365" spans="1:15" x14ac:dyDescent="0.3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f t="array" ref="O1365">_xlfn.IFS(orders[[#This Row],[Customer Gender]]="M","Male", orders[[#This Row],[Customer Gender]]="F","Female", orders[[#This Row],[Customer Gender]]="O","Other", TRUE,"Unknown")</f>
        <v>Male</v>
      </c>
    </row>
    <row r="1366" spans="1:15" x14ac:dyDescent="0.3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f t="array" ref="O1366">_xlfn.IFS(orders[[#This Row],[Customer Gender]]="M","Male", orders[[#This Row],[Customer Gender]]="F","Female", orders[[#This Row],[Customer Gender]]="O","Other", TRUE,"Unknown")</f>
        <v>Male</v>
      </c>
    </row>
    <row r="1367" spans="1:15" x14ac:dyDescent="0.3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f t="array" ref="O1367">_xlfn.IFS(orders[[#This Row],[Customer Gender]]="M","Male", orders[[#This Row],[Customer Gender]]="F","Female", orders[[#This Row],[Customer Gender]]="O","Other", TRUE,"Unknown")</f>
        <v>Unknown</v>
      </c>
    </row>
    <row r="1368" spans="1:15" x14ac:dyDescent="0.3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f t="array" ref="O1368">_xlfn.IFS(orders[[#This Row],[Customer Gender]]="M","Male", orders[[#This Row],[Customer Gender]]="F","Female", orders[[#This Row],[Customer Gender]]="O","Other", TRUE,"Unknown")</f>
        <v>Female</v>
      </c>
    </row>
    <row r="1369" spans="1:15" x14ac:dyDescent="0.3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f t="array" ref="O1369">_xlfn.IFS(orders[[#This Row],[Customer Gender]]="M","Male", orders[[#This Row],[Customer Gender]]="F","Female", orders[[#This Row],[Customer Gender]]="O","Other", TRUE,"Unknown")</f>
        <v>Male</v>
      </c>
    </row>
    <row r="1370" spans="1:15" x14ac:dyDescent="0.3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f t="array" ref="O1370">_xlfn.IFS(orders[[#This Row],[Customer Gender]]="M","Male", orders[[#This Row],[Customer Gender]]="F","Female", orders[[#This Row],[Customer Gender]]="O","Other", TRUE,"Unknown")</f>
        <v>Male</v>
      </c>
    </row>
    <row r="1371" spans="1:15" x14ac:dyDescent="0.3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f t="array" ref="O1371">_xlfn.IFS(orders[[#This Row],[Customer Gender]]="M","Male", orders[[#This Row],[Customer Gender]]="F","Female", orders[[#This Row],[Customer Gender]]="O","Other", TRUE,"Unknown")</f>
        <v>Male</v>
      </c>
    </row>
    <row r="1372" spans="1:15" x14ac:dyDescent="0.3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f t="array" ref="O1372">_xlfn.IFS(orders[[#This Row],[Customer Gender]]="M","Male", orders[[#This Row],[Customer Gender]]="F","Female", orders[[#This Row],[Customer Gender]]="O","Other", TRUE,"Unknown")</f>
        <v>Male</v>
      </c>
    </row>
    <row r="1373" spans="1:15" x14ac:dyDescent="0.3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f t="array" ref="O1373">_xlfn.IFS(orders[[#This Row],[Customer Gender]]="M","Male", orders[[#This Row],[Customer Gender]]="F","Female", orders[[#This Row],[Customer Gender]]="O","Other", TRUE,"Unknown")</f>
        <v>Female</v>
      </c>
    </row>
    <row r="1374" spans="1:15" x14ac:dyDescent="0.3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f t="array" ref="O1374">_xlfn.IFS(orders[[#This Row],[Customer Gender]]="M","Male", orders[[#This Row],[Customer Gender]]="F","Female", orders[[#This Row],[Customer Gender]]="O","Other", TRUE,"Unknown")</f>
        <v>Other</v>
      </c>
    </row>
    <row r="1375" spans="1:15" x14ac:dyDescent="0.3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f t="array" ref="O1375">_xlfn.IFS(orders[[#This Row],[Customer Gender]]="M","Male", orders[[#This Row],[Customer Gender]]="F","Female", orders[[#This Row],[Customer Gender]]="O","Other", TRUE,"Unknown")</f>
        <v>Female</v>
      </c>
    </row>
    <row r="1376" spans="1:15" x14ac:dyDescent="0.3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f t="array" ref="O1376">_xlfn.IFS(orders[[#This Row],[Customer Gender]]="M","Male", orders[[#This Row],[Customer Gender]]="F","Female", orders[[#This Row],[Customer Gender]]="O","Other", TRUE,"Unknown")</f>
        <v>Female</v>
      </c>
    </row>
    <row r="1377" spans="1:15" x14ac:dyDescent="0.3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f t="array" ref="O1377">_xlfn.IFS(orders[[#This Row],[Customer Gender]]="M","Male", orders[[#This Row],[Customer Gender]]="F","Female", orders[[#This Row],[Customer Gender]]="O","Other", TRUE,"Unknown")</f>
        <v>Male</v>
      </c>
    </row>
    <row r="1378" spans="1:15" x14ac:dyDescent="0.3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f t="array" ref="O1378">_xlfn.IFS(orders[[#This Row],[Customer Gender]]="M","Male", orders[[#This Row],[Customer Gender]]="F","Female", orders[[#This Row],[Customer Gender]]="O","Other", TRUE,"Unknown")</f>
        <v>Male</v>
      </c>
    </row>
    <row r="1379" spans="1:15" x14ac:dyDescent="0.3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f t="array" ref="O1379">_xlfn.IFS(orders[[#This Row],[Customer Gender]]="M","Male", orders[[#This Row],[Customer Gender]]="F","Female", orders[[#This Row],[Customer Gender]]="O","Other", TRUE,"Unknown")</f>
        <v>Male</v>
      </c>
    </row>
    <row r="1380" spans="1:15" x14ac:dyDescent="0.3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f t="array" ref="O1380">_xlfn.IFS(orders[[#This Row],[Customer Gender]]="M","Male", orders[[#This Row],[Customer Gender]]="F","Female", orders[[#This Row],[Customer Gender]]="O","Other", TRUE,"Unknown")</f>
        <v>Female</v>
      </c>
    </row>
    <row r="1381" spans="1:15" x14ac:dyDescent="0.3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f t="array" ref="O1381">_xlfn.IFS(orders[[#This Row],[Customer Gender]]="M","Male", orders[[#This Row],[Customer Gender]]="F","Female", orders[[#This Row],[Customer Gender]]="O","Other", TRUE,"Unknown")</f>
        <v>Male</v>
      </c>
    </row>
    <row r="1382" spans="1:15" x14ac:dyDescent="0.3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f t="array" ref="O1382">_xlfn.IFS(orders[[#This Row],[Customer Gender]]="M","Male", orders[[#This Row],[Customer Gender]]="F","Female", orders[[#This Row],[Customer Gender]]="O","Other", TRUE,"Unknown")</f>
        <v>Male</v>
      </c>
    </row>
    <row r="1383" spans="1:15" x14ac:dyDescent="0.3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f t="array" ref="O1383">_xlfn.IFS(orders[[#This Row],[Customer Gender]]="M","Male", orders[[#This Row],[Customer Gender]]="F","Female", orders[[#This Row],[Customer Gender]]="O","Other", TRUE,"Unknown")</f>
        <v>Male</v>
      </c>
    </row>
    <row r="1384" spans="1:15" x14ac:dyDescent="0.3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f t="array" ref="O1384">_xlfn.IFS(orders[[#This Row],[Customer Gender]]="M","Male", orders[[#This Row],[Customer Gender]]="F","Female", orders[[#This Row],[Customer Gender]]="O","Other", TRUE,"Unknown")</f>
        <v>Male</v>
      </c>
    </row>
    <row r="1385" spans="1:15" x14ac:dyDescent="0.3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f t="array" ref="O1385">_xlfn.IFS(orders[[#This Row],[Customer Gender]]="M","Male", orders[[#This Row],[Customer Gender]]="F","Female", orders[[#This Row],[Customer Gender]]="O","Other", TRUE,"Unknown")</f>
        <v>Male</v>
      </c>
    </row>
    <row r="1386" spans="1:15" x14ac:dyDescent="0.3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f t="array" ref="O1386">_xlfn.IFS(orders[[#This Row],[Customer Gender]]="M","Male", orders[[#This Row],[Customer Gender]]="F","Female", orders[[#This Row],[Customer Gender]]="O","Other", TRUE,"Unknown")</f>
        <v>Female</v>
      </c>
    </row>
    <row r="1387" spans="1:15" x14ac:dyDescent="0.3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f t="array" ref="O1387">_xlfn.IFS(orders[[#This Row],[Customer Gender]]="M","Male", orders[[#This Row],[Customer Gender]]="F","Female", orders[[#This Row],[Customer Gender]]="O","Other", TRUE,"Unknown")</f>
        <v>Male</v>
      </c>
    </row>
    <row r="1388" spans="1:15" x14ac:dyDescent="0.3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f t="array" ref="O1388">_xlfn.IFS(orders[[#This Row],[Customer Gender]]="M","Male", orders[[#This Row],[Customer Gender]]="F","Female", orders[[#This Row],[Customer Gender]]="O","Other", TRUE,"Unknown")</f>
        <v>Male</v>
      </c>
    </row>
    <row r="1389" spans="1:15" x14ac:dyDescent="0.3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f t="array" ref="O1389">_xlfn.IFS(orders[[#This Row],[Customer Gender]]="M","Male", orders[[#This Row],[Customer Gender]]="F","Female", orders[[#This Row],[Customer Gender]]="O","Other", TRUE,"Unknown")</f>
        <v>Male</v>
      </c>
    </row>
    <row r="1390" spans="1:15" x14ac:dyDescent="0.3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f t="array" ref="O1390">_xlfn.IFS(orders[[#This Row],[Customer Gender]]="M","Male", orders[[#This Row],[Customer Gender]]="F","Female", orders[[#This Row],[Customer Gender]]="O","Other", TRUE,"Unknown")</f>
        <v>Unknown</v>
      </c>
    </row>
    <row r="1391" spans="1:15" x14ac:dyDescent="0.3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f t="array" ref="O1391">_xlfn.IFS(orders[[#This Row],[Customer Gender]]="M","Male", orders[[#This Row],[Customer Gender]]="F","Female", orders[[#This Row],[Customer Gender]]="O","Other", TRUE,"Unknown")</f>
        <v>Male</v>
      </c>
    </row>
    <row r="1392" spans="1:15" x14ac:dyDescent="0.3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f t="array" ref="O1392">_xlfn.IFS(orders[[#This Row],[Customer Gender]]="M","Male", orders[[#This Row],[Customer Gender]]="F","Female", orders[[#This Row],[Customer Gender]]="O","Other", TRUE,"Unknown")</f>
        <v>Male</v>
      </c>
    </row>
    <row r="1393" spans="1:15" x14ac:dyDescent="0.3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f t="array" ref="O1393">_xlfn.IFS(orders[[#This Row],[Customer Gender]]="M","Male", orders[[#This Row],[Customer Gender]]="F","Female", orders[[#This Row],[Customer Gender]]="O","Other", TRUE,"Unknown")</f>
        <v>Female</v>
      </c>
    </row>
    <row r="1394" spans="1:15" x14ac:dyDescent="0.3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f t="array" ref="O1394">_xlfn.IFS(orders[[#This Row],[Customer Gender]]="M","Male", orders[[#This Row],[Customer Gender]]="F","Female", orders[[#This Row],[Customer Gender]]="O","Other", TRUE,"Unknown")</f>
        <v>Male</v>
      </c>
    </row>
    <row r="1395" spans="1:15" x14ac:dyDescent="0.3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f t="array" ref="O1395">_xlfn.IFS(orders[[#This Row],[Customer Gender]]="M","Male", orders[[#This Row],[Customer Gender]]="F","Female", orders[[#This Row],[Customer Gender]]="O","Other", TRUE,"Unknown")</f>
        <v>Male</v>
      </c>
    </row>
    <row r="1396" spans="1:15" x14ac:dyDescent="0.3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f t="array" ref="O1396">_xlfn.IFS(orders[[#This Row],[Customer Gender]]="M","Male", orders[[#This Row],[Customer Gender]]="F","Female", orders[[#This Row],[Customer Gender]]="O","Other", TRUE,"Unknown")</f>
        <v>Male</v>
      </c>
    </row>
    <row r="1397" spans="1:15" x14ac:dyDescent="0.3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f t="array" ref="O1397">_xlfn.IFS(orders[[#This Row],[Customer Gender]]="M","Male", orders[[#This Row],[Customer Gender]]="F","Female", orders[[#This Row],[Customer Gender]]="O","Other", TRUE,"Unknown")</f>
        <v>Male</v>
      </c>
    </row>
    <row r="1398" spans="1:15" x14ac:dyDescent="0.3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f t="array" ref="O1398">_xlfn.IFS(orders[[#This Row],[Customer Gender]]="M","Male", orders[[#This Row],[Customer Gender]]="F","Female", orders[[#This Row],[Customer Gender]]="O","Other", TRUE,"Unknown")</f>
        <v>Male</v>
      </c>
    </row>
    <row r="1399" spans="1:15" x14ac:dyDescent="0.3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f t="array" ref="O1399">_xlfn.IFS(orders[[#This Row],[Customer Gender]]="M","Male", orders[[#This Row],[Customer Gender]]="F","Female", orders[[#This Row],[Customer Gender]]="O","Other", TRUE,"Unknown")</f>
        <v>Female</v>
      </c>
    </row>
    <row r="1400" spans="1:15" x14ac:dyDescent="0.3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f t="array" ref="O1400">_xlfn.IFS(orders[[#This Row],[Customer Gender]]="M","Male", orders[[#This Row],[Customer Gender]]="F","Female", orders[[#This Row],[Customer Gender]]="O","Other", TRUE,"Unknown")</f>
        <v>Female</v>
      </c>
    </row>
    <row r="1401" spans="1:15" x14ac:dyDescent="0.3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f t="array" ref="O1401">_xlfn.IFS(orders[[#This Row],[Customer Gender]]="M","Male", orders[[#This Row],[Customer Gender]]="F","Female", orders[[#This Row],[Customer Gender]]="O","Other", TRUE,"Unknown")</f>
        <v>Male</v>
      </c>
    </row>
    <row r="1402" spans="1:15" x14ac:dyDescent="0.3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f t="array" ref="O1402">_xlfn.IFS(orders[[#This Row],[Customer Gender]]="M","Male", orders[[#This Row],[Customer Gender]]="F","Female", orders[[#This Row],[Customer Gender]]="O","Other", TRUE,"Unknown")</f>
        <v>Female</v>
      </c>
    </row>
    <row r="1403" spans="1:15" x14ac:dyDescent="0.3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f t="array" ref="O1403">_xlfn.IFS(orders[[#This Row],[Customer Gender]]="M","Male", orders[[#This Row],[Customer Gender]]="F","Female", orders[[#This Row],[Customer Gender]]="O","Other", TRUE,"Unknown")</f>
        <v>Female</v>
      </c>
    </row>
    <row r="1404" spans="1:15" x14ac:dyDescent="0.3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f t="array" ref="O1404">_xlfn.IFS(orders[[#This Row],[Customer Gender]]="M","Male", orders[[#This Row],[Customer Gender]]="F","Female", orders[[#This Row],[Customer Gender]]="O","Other", TRUE,"Unknown")</f>
        <v>Male</v>
      </c>
    </row>
    <row r="1405" spans="1:15" x14ac:dyDescent="0.3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f t="array" ref="O1405">_xlfn.IFS(orders[[#This Row],[Customer Gender]]="M","Male", orders[[#This Row],[Customer Gender]]="F","Female", orders[[#This Row],[Customer Gender]]="O","Other", TRUE,"Unknown")</f>
        <v>Male</v>
      </c>
    </row>
    <row r="1406" spans="1:15" x14ac:dyDescent="0.3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f t="array" ref="O1406">_xlfn.IFS(orders[[#This Row],[Customer Gender]]="M","Male", orders[[#This Row],[Customer Gender]]="F","Female", orders[[#This Row],[Customer Gender]]="O","Other", TRUE,"Unknown")</f>
        <v>Female</v>
      </c>
    </row>
    <row r="1407" spans="1:15" x14ac:dyDescent="0.3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f t="array" ref="O1407">_xlfn.IFS(orders[[#This Row],[Customer Gender]]="M","Male", orders[[#This Row],[Customer Gender]]="F","Female", orders[[#This Row],[Customer Gender]]="O","Other", TRUE,"Unknown")</f>
        <v>Female</v>
      </c>
    </row>
    <row r="1408" spans="1:15" x14ac:dyDescent="0.3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f t="array" ref="O1408">_xlfn.IFS(orders[[#This Row],[Customer Gender]]="M","Male", orders[[#This Row],[Customer Gender]]="F","Female", orders[[#This Row],[Customer Gender]]="O","Other", TRUE,"Unknown")</f>
        <v>Female</v>
      </c>
    </row>
    <row r="1409" spans="1:15" x14ac:dyDescent="0.3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f t="array" ref="O1409">_xlfn.IFS(orders[[#This Row],[Customer Gender]]="M","Male", orders[[#This Row],[Customer Gender]]="F","Female", orders[[#This Row],[Customer Gender]]="O","Other", TRUE,"Unknown")</f>
        <v>Male</v>
      </c>
    </row>
    <row r="1410" spans="1:15" x14ac:dyDescent="0.3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f t="array" ref="O1410">_xlfn.IFS(orders[[#This Row],[Customer Gender]]="M","Male", orders[[#This Row],[Customer Gender]]="F","Female", orders[[#This Row],[Customer Gender]]="O","Other", TRUE,"Unknown")</f>
        <v>Male</v>
      </c>
    </row>
    <row r="1411" spans="1:15" x14ac:dyDescent="0.3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f t="array" ref="O1411">_xlfn.IFS(orders[[#This Row],[Customer Gender]]="M","Male", orders[[#This Row],[Customer Gender]]="F","Female", orders[[#This Row],[Customer Gender]]="O","Other", TRUE,"Unknown")</f>
        <v>Other</v>
      </c>
    </row>
    <row r="1412" spans="1:15" x14ac:dyDescent="0.3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f t="array" ref="O1412">_xlfn.IFS(orders[[#This Row],[Customer Gender]]="M","Male", orders[[#This Row],[Customer Gender]]="F","Female", orders[[#This Row],[Customer Gender]]="O","Other", TRUE,"Unknown")</f>
        <v>Female</v>
      </c>
    </row>
    <row r="1413" spans="1:15" x14ac:dyDescent="0.3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f t="array" ref="O1413">_xlfn.IFS(orders[[#This Row],[Customer Gender]]="M","Male", orders[[#This Row],[Customer Gender]]="F","Female", orders[[#This Row],[Customer Gender]]="O","Other", TRUE,"Unknown")</f>
        <v>Other</v>
      </c>
    </row>
    <row r="1414" spans="1:15" x14ac:dyDescent="0.3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f t="array" ref="O1414">_xlfn.IFS(orders[[#This Row],[Customer Gender]]="M","Male", orders[[#This Row],[Customer Gender]]="F","Female", orders[[#This Row],[Customer Gender]]="O","Other", TRUE,"Unknown")</f>
        <v>Female</v>
      </c>
    </row>
    <row r="1415" spans="1:15" x14ac:dyDescent="0.3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f t="array" ref="O1415">_xlfn.IFS(orders[[#This Row],[Customer Gender]]="M","Male", orders[[#This Row],[Customer Gender]]="F","Female", orders[[#This Row],[Customer Gender]]="O","Other", TRUE,"Unknown")</f>
        <v>Female</v>
      </c>
    </row>
    <row r="1416" spans="1:15" x14ac:dyDescent="0.3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f t="array" ref="O1416">_xlfn.IFS(orders[[#This Row],[Customer Gender]]="M","Male", orders[[#This Row],[Customer Gender]]="F","Female", orders[[#This Row],[Customer Gender]]="O","Other", TRUE,"Unknown")</f>
        <v>Female</v>
      </c>
    </row>
    <row r="1417" spans="1:15" x14ac:dyDescent="0.3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f t="array" ref="O1417">_xlfn.IFS(orders[[#This Row],[Customer Gender]]="M","Male", orders[[#This Row],[Customer Gender]]="F","Female", orders[[#This Row],[Customer Gender]]="O","Other", TRUE,"Unknown")</f>
        <v>Female</v>
      </c>
    </row>
    <row r="1418" spans="1:15" x14ac:dyDescent="0.3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f t="array" ref="O1418">_xlfn.IFS(orders[[#This Row],[Customer Gender]]="M","Male", orders[[#This Row],[Customer Gender]]="F","Female", orders[[#This Row],[Customer Gender]]="O","Other", TRUE,"Unknown")</f>
        <v>Female</v>
      </c>
    </row>
    <row r="1419" spans="1:15" x14ac:dyDescent="0.3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f t="array" ref="O1419">_xlfn.IFS(orders[[#This Row],[Customer Gender]]="M","Male", orders[[#This Row],[Customer Gender]]="F","Female", orders[[#This Row],[Customer Gender]]="O","Other", TRUE,"Unknown")</f>
        <v>Male</v>
      </c>
    </row>
    <row r="1420" spans="1:15" x14ac:dyDescent="0.3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f t="array" ref="O1420">_xlfn.IFS(orders[[#This Row],[Customer Gender]]="M","Male", orders[[#This Row],[Customer Gender]]="F","Female", orders[[#This Row],[Customer Gender]]="O","Other", TRUE,"Unknown")</f>
        <v>Female</v>
      </c>
    </row>
    <row r="1421" spans="1:15" x14ac:dyDescent="0.3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f t="array" ref="O1421">_xlfn.IFS(orders[[#This Row],[Customer Gender]]="M","Male", orders[[#This Row],[Customer Gender]]="F","Female", orders[[#This Row],[Customer Gender]]="O","Other", TRUE,"Unknown")</f>
        <v>Female</v>
      </c>
    </row>
    <row r="1422" spans="1:15" x14ac:dyDescent="0.3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f t="array" ref="O1422">_xlfn.IFS(orders[[#This Row],[Customer Gender]]="M","Male", orders[[#This Row],[Customer Gender]]="F","Female", orders[[#This Row],[Customer Gender]]="O","Other", TRUE,"Unknown")</f>
        <v>Male</v>
      </c>
    </row>
    <row r="1423" spans="1:15" x14ac:dyDescent="0.3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f t="array" ref="O1423">_xlfn.IFS(orders[[#This Row],[Customer Gender]]="M","Male", orders[[#This Row],[Customer Gender]]="F","Female", orders[[#This Row],[Customer Gender]]="O","Other", TRUE,"Unknown")</f>
        <v>Female</v>
      </c>
    </row>
    <row r="1424" spans="1:15" x14ac:dyDescent="0.3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f t="array" ref="O1424">_xlfn.IFS(orders[[#This Row],[Customer Gender]]="M","Male", orders[[#This Row],[Customer Gender]]="F","Female", orders[[#This Row],[Customer Gender]]="O","Other", TRUE,"Unknown")</f>
        <v>Female</v>
      </c>
    </row>
    <row r="1425" spans="1:15" x14ac:dyDescent="0.3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f t="array" ref="O1425">_xlfn.IFS(orders[[#This Row],[Customer Gender]]="M","Male", orders[[#This Row],[Customer Gender]]="F","Female", orders[[#This Row],[Customer Gender]]="O","Other", TRUE,"Unknown")</f>
        <v>Female</v>
      </c>
    </row>
    <row r="1426" spans="1:15" x14ac:dyDescent="0.3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f t="array" ref="O1426">_xlfn.IFS(orders[[#This Row],[Customer Gender]]="M","Male", orders[[#This Row],[Customer Gender]]="F","Female", orders[[#This Row],[Customer Gender]]="O","Other", TRUE,"Unknown")</f>
        <v>Unknown</v>
      </c>
    </row>
    <row r="1427" spans="1:15" x14ac:dyDescent="0.3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f t="array" ref="O1427">_xlfn.IFS(orders[[#This Row],[Customer Gender]]="M","Male", orders[[#This Row],[Customer Gender]]="F","Female", orders[[#This Row],[Customer Gender]]="O","Other", TRUE,"Unknown")</f>
        <v>Female</v>
      </c>
    </row>
    <row r="1428" spans="1:15" x14ac:dyDescent="0.3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f t="array" ref="O1428">_xlfn.IFS(orders[[#This Row],[Customer Gender]]="M","Male", orders[[#This Row],[Customer Gender]]="F","Female", orders[[#This Row],[Customer Gender]]="O","Other", TRUE,"Unknown")</f>
        <v>Male</v>
      </c>
    </row>
    <row r="1429" spans="1:15" x14ac:dyDescent="0.3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f t="array" ref="O1429">_xlfn.IFS(orders[[#This Row],[Customer Gender]]="M","Male", orders[[#This Row],[Customer Gender]]="F","Female", orders[[#This Row],[Customer Gender]]="O","Other", TRUE,"Unknown")</f>
        <v>Male</v>
      </c>
    </row>
    <row r="1430" spans="1:15" x14ac:dyDescent="0.3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f t="array" ref="O1430">_xlfn.IFS(orders[[#This Row],[Customer Gender]]="M","Male", orders[[#This Row],[Customer Gender]]="F","Female", orders[[#This Row],[Customer Gender]]="O","Other", TRUE,"Unknown")</f>
        <v>Male</v>
      </c>
    </row>
    <row r="1431" spans="1:15" x14ac:dyDescent="0.3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f t="array" ref="O1431">_xlfn.IFS(orders[[#This Row],[Customer Gender]]="M","Male", orders[[#This Row],[Customer Gender]]="F","Female", orders[[#This Row],[Customer Gender]]="O","Other", TRUE,"Unknown")</f>
        <v>Male</v>
      </c>
    </row>
    <row r="1432" spans="1:15" x14ac:dyDescent="0.3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f t="array" ref="O1432">_xlfn.IFS(orders[[#This Row],[Customer Gender]]="M","Male", orders[[#This Row],[Customer Gender]]="F","Female", orders[[#This Row],[Customer Gender]]="O","Other", TRUE,"Unknown")</f>
        <v>Female</v>
      </c>
    </row>
    <row r="1433" spans="1:15" x14ac:dyDescent="0.3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f t="array" ref="O1433">_xlfn.IFS(orders[[#This Row],[Customer Gender]]="M","Male", orders[[#This Row],[Customer Gender]]="F","Female", orders[[#This Row],[Customer Gender]]="O","Other", TRUE,"Unknown")</f>
        <v>Female</v>
      </c>
    </row>
    <row r="1434" spans="1:15" x14ac:dyDescent="0.3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f t="array" ref="O1434">_xlfn.IFS(orders[[#This Row],[Customer Gender]]="M","Male", orders[[#This Row],[Customer Gender]]="F","Female", orders[[#This Row],[Customer Gender]]="O","Other", TRUE,"Unknown")</f>
        <v>Female</v>
      </c>
    </row>
    <row r="1435" spans="1:15" x14ac:dyDescent="0.3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f t="array" ref="O1435">_xlfn.IFS(orders[[#This Row],[Customer Gender]]="M","Male", orders[[#This Row],[Customer Gender]]="F","Female", orders[[#This Row],[Customer Gender]]="O","Other", TRUE,"Unknown")</f>
        <v>Male</v>
      </c>
    </row>
    <row r="1436" spans="1:15" x14ac:dyDescent="0.3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f t="array" ref="O1436">_xlfn.IFS(orders[[#This Row],[Customer Gender]]="M","Male", orders[[#This Row],[Customer Gender]]="F","Female", orders[[#This Row],[Customer Gender]]="O","Other", TRUE,"Unknown")</f>
        <v>Female</v>
      </c>
    </row>
    <row r="1437" spans="1:15" x14ac:dyDescent="0.3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f t="array" ref="O1437">_xlfn.IFS(orders[[#This Row],[Customer Gender]]="M","Male", orders[[#This Row],[Customer Gender]]="F","Female", orders[[#This Row],[Customer Gender]]="O","Other", TRUE,"Unknown")</f>
        <v>Female</v>
      </c>
    </row>
    <row r="1438" spans="1:15" x14ac:dyDescent="0.3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f t="array" ref="O1438">_xlfn.IFS(orders[[#This Row],[Customer Gender]]="M","Male", orders[[#This Row],[Customer Gender]]="F","Female", orders[[#This Row],[Customer Gender]]="O","Other", TRUE,"Unknown")</f>
        <v>Female</v>
      </c>
    </row>
    <row r="1439" spans="1:15" x14ac:dyDescent="0.3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f t="array" ref="O1439">_xlfn.IFS(orders[[#This Row],[Customer Gender]]="M","Male", orders[[#This Row],[Customer Gender]]="F","Female", orders[[#This Row],[Customer Gender]]="O","Other", TRUE,"Unknown")</f>
        <v>Female</v>
      </c>
    </row>
    <row r="1440" spans="1:15" x14ac:dyDescent="0.3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f t="array" ref="O1440">_xlfn.IFS(orders[[#This Row],[Customer Gender]]="M","Male", orders[[#This Row],[Customer Gender]]="F","Female", orders[[#This Row],[Customer Gender]]="O","Other", TRUE,"Unknown")</f>
        <v>Male</v>
      </c>
    </row>
    <row r="1441" spans="1:15" x14ac:dyDescent="0.3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f t="array" ref="O1441">_xlfn.IFS(orders[[#This Row],[Customer Gender]]="M","Male", orders[[#This Row],[Customer Gender]]="F","Female", orders[[#This Row],[Customer Gender]]="O","Other", TRUE,"Unknown")</f>
        <v>Male</v>
      </c>
    </row>
    <row r="1442" spans="1:15" x14ac:dyDescent="0.3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f t="array" ref="O1442">_xlfn.IFS(orders[[#This Row],[Customer Gender]]="M","Male", orders[[#This Row],[Customer Gender]]="F","Female", orders[[#This Row],[Customer Gender]]="O","Other", TRUE,"Unknown")</f>
        <v>Other</v>
      </c>
    </row>
    <row r="1443" spans="1:15" x14ac:dyDescent="0.3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f t="array" ref="O1443">_xlfn.IFS(orders[[#This Row],[Customer Gender]]="M","Male", orders[[#This Row],[Customer Gender]]="F","Female", orders[[#This Row],[Customer Gender]]="O","Other", TRUE,"Unknown")</f>
        <v>Female</v>
      </c>
    </row>
    <row r="1444" spans="1:15" x14ac:dyDescent="0.3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f t="array" ref="O1444">_xlfn.IFS(orders[[#This Row],[Customer Gender]]="M","Male", orders[[#This Row],[Customer Gender]]="F","Female", orders[[#This Row],[Customer Gender]]="O","Other", TRUE,"Unknown")</f>
        <v>Female</v>
      </c>
    </row>
    <row r="1445" spans="1:15" x14ac:dyDescent="0.3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f t="array" ref="O1445">_xlfn.IFS(orders[[#This Row],[Customer Gender]]="M","Male", orders[[#This Row],[Customer Gender]]="F","Female", orders[[#This Row],[Customer Gender]]="O","Other", TRUE,"Unknown")</f>
        <v>Female</v>
      </c>
    </row>
    <row r="1446" spans="1:15" x14ac:dyDescent="0.3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f t="array" ref="O1446">_xlfn.IFS(orders[[#This Row],[Customer Gender]]="M","Male", orders[[#This Row],[Customer Gender]]="F","Female", orders[[#This Row],[Customer Gender]]="O","Other", TRUE,"Unknown")</f>
        <v>Male</v>
      </c>
    </row>
    <row r="1447" spans="1:15" x14ac:dyDescent="0.3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f t="array" ref="O1447">_xlfn.IFS(orders[[#This Row],[Customer Gender]]="M","Male", orders[[#This Row],[Customer Gender]]="F","Female", orders[[#This Row],[Customer Gender]]="O","Other", TRUE,"Unknown")</f>
        <v>Female</v>
      </c>
    </row>
    <row r="1448" spans="1:15" x14ac:dyDescent="0.3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f t="array" ref="O1448">_xlfn.IFS(orders[[#This Row],[Customer Gender]]="M","Male", orders[[#This Row],[Customer Gender]]="F","Female", orders[[#This Row],[Customer Gender]]="O","Other", TRUE,"Unknown")</f>
        <v>Male</v>
      </c>
    </row>
    <row r="1449" spans="1:15" x14ac:dyDescent="0.3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f t="array" ref="O1449">_xlfn.IFS(orders[[#This Row],[Customer Gender]]="M","Male", orders[[#This Row],[Customer Gender]]="F","Female", orders[[#This Row],[Customer Gender]]="O","Other", TRUE,"Unknown")</f>
        <v>Unknown</v>
      </c>
    </row>
    <row r="1450" spans="1:15" x14ac:dyDescent="0.3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f t="array" ref="O1450">_xlfn.IFS(orders[[#This Row],[Customer Gender]]="M","Male", orders[[#This Row],[Customer Gender]]="F","Female", orders[[#This Row],[Customer Gender]]="O","Other", TRUE,"Unknown")</f>
        <v>Male</v>
      </c>
    </row>
    <row r="1451" spans="1:15" x14ac:dyDescent="0.3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f t="array" ref="O1451">_xlfn.IFS(orders[[#This Row],[Customer Gender]]="M","Male", orders[[#This Row],[Customer Gender]]="F","Female", orders[[#This Row],[Customer Gender]]="O","Other", TRUE,"Unknown")</f>
        <v>Male</v>
      </c>
    </row>
    <row r="1452" spans="1:15" x14ac:dyDescent="0.3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f t="array" ref="O1452">_xlfn.IFS(orders[[#This Row],[Customer Gender]]="M","Male", orders[[#This Row],[Customer Gender]]="F","Female", orders[[#This Row],[Customer Gender]]="O","Other", TRUE,"Unknown")</f>
        <v>Female</v>
      </c>
    </row>
    <row r="1453" spans="1:15" x14ac:dyDescent="0.3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f t="array" ref="O1453">_xlfn.IFS(orders[[#This Row],[Customer Gender]]="M","Male", orders[[#This Row],[Customer Gender]]="F","Female", orders[[#This Row],[Customer Gender]]="O","Other", TRUE,"Unknown")</f>
        <v>Male</v>
      </c>
    </row>
    <row r="1454" spans="1:15" x14ac:dyDescent="0.3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f t="array" ref="O1454">_xlfn.IFS(orders[[#This Row],[Customer Gender]]="M","Male", orders[[#This Row],[Customer Gender]]="F","Female", orders[[#This Row],[Customer Gender]]="O","Other", TRUE,"Unknown")</f>
        <v>Male</v>
      </c>
    </row>
    <row r="1455" spans="1:15" x14ac:dyDescent="0.3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f t="array" ref="O1455">_xlfn.IFS(orders[[#This Row],[Customer Gender]]="M","Male", orders[[#This Row],[Customer Gender]]="F","Female", orders[[#This Row],[Customer Gender]]="O","Other", TRUE,"Unknown")</f>
        <v>Male</v>
      </c>
    </row>
    <row r="1456" spans="1:15" x14ac:dyDescent="0.3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f t="array" ref="O1456">_xlfn.IFS(orders[[#This Row],[Customer Gender]]="M","Male", orders[[#This Row],[Customer Gender]]="F","Female", orders[[#This Row],[Customer Gender]]="O","Other", TRUE,"Unknown")</f>
        <v>Male</v>
      </c>
    </row>
    <row r="1457" spans="1:15" x14ac:dyDescent="0.3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f t="array" ref="O1457">_xlfn.IFS(orders[[#This Row],[Customer Gender]]="M","Male", orders[[#This Row],[Customer Gender]]="F","Female", orders[[#This Row],[Customer Gender]]="O","Other", TRUE,"Unknown")</f>
        <v>Female</v>
      </c>
    </row>
    <row r="1458" spans="1:15" x14ac:dyDescent="0.3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f t="array" ref="O1458">_xlfn.IFS(orders[[#This Row],[Customer Gender]]="M","Male", orders[[#This Row],[Customer Gender]]="F","Female", orders[[#This Row],[Customer Gender]]="O","Other", TRUE,"Unknown")</f>
        <v>Female</v>
      </c>
    </row>
    <row r="1459" spans="1:15" x14ac:dyDescent="0.3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f t="array" ref="O1459">_xlfn.IFS(orders[[#This Row],[Customer Gender]]="M","Male", orders[[#This Row],[Customer Gender]]="F","Female", orders[[#This Row],[Customer Gender]]="O","Other", TRUE,"Unknown")</f>
        <v>Male</v>
      </c>
    </row>
    <row r="1460" spans="1:15" x14ac:dyDescent="0.3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f t="array" ref="O1460">_xlfn.IFS(orders[[#This Row],[Customer Gender]]="M","Male", orders[[#This Row],[Customer Gender]]="F","Female", orders[[#This Row],[Customer Gender]]="O","Other", TRUE,"Unknown")</f>
        <v>Female</v>
      </c>
    </row>
    <row r="1461" spans="1:15" x14ac:dyDescent="0.3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f t="array" ref="O1461">_xlfn.IFS(orders[[#This Row],[Customer Gender]]="M","Male", orders[[#This Row],[Customer Gender]]="F","Female", orders[[#This Row],[Customer Gender]]="O","Other", TRUE,"Unknown")</f>
        <v>Female</v>
      </c>
    </row>
    <row r="1462" spans="1:15" x14ac:dyDescent="0.3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f t="array" ref="O1462">_xlfn.IFS(orders[[#This Row],[Customer Gender]]="M","Male", orders[[#This Row],[Customer Gender]]="F","Female", orders[[#This Row],[Customer Gender]]="O","Other", TRUE,"Unknown")</f>
        <v>Male</v>
      </c>
    </row>
    <row r="1463" spans="1:15" x14ac:dyDescent="0.3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f t="array" ref="O1463">_xlfn.IFS(orders[[#This Row],[Customer Gender]]="M","Male", orders[[#This Row],[Customer Gender]]="F","Female", orders[[#This Row],[Customer Gender]]="O","Other", TRUE,"Unknown")</f>
        <v>Male</v>
      </c>
    </row>
    <row r="1464" spans="1:15" x14ac:dyDescent="0.3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f t="array" ref="O1464">_xlfn.IFS(orders[[#This Row],[Customer Gender]]="M","Male", orders[[#This Row],[Customer Gender]]="F","Female", orders[[#This Row],[Customer Gender]]="O","Other", TRUE,"Unknown")</f>
        <v>Female</v>
      </c>
    </row>
    <row r="1465" spans="1:15" x14ac:dyDescent="0.3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f t="array" ref="O1465">_xlfn.IFS(orders[[#This Row],[Customer Gender]]="M","Male", orders[[#This Row],[Customer Gender]]="F","Female", orders[[#This Row],[Customer Gender]]="O","Other", TRUE,"Unknown")</f>
        <v>Unknown</v>
      </c>
    </row>
    <row r="1466" spans="1:15" x14ac:dyDescent="0.3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f t="array" ref="O1466">_xlfn.IFS(orders[[#This Row],[Customer Gender]]="M","Male", orders[[#This Row],[Customer Gender]]="F","Female", orders[[#This Row],[Customer Gender]]="O","Other", TRUE,"Unknown")</f>
        <v>Unknown</v>
      </c>
    </row>
    <row r="1467" spans="1:15" x14ac:dyDescent="0.3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f t="array" ref="O1467">_xlfn.IFS(orders[[#This Row],[Customer Gender]]="M","Male", orders[[#This Row],[Customer Gender]]="F","Female", orders[[#This Row],[Customer Gender]]="O","Other", TRUE,"Unknown")</f>
        <v>Male</v>
      </c>
    </row>
    <row r="1468" spans="1:15" x14ac:dyDescent="0.3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f t="array" ref="O1468">_xlfn.IFS(orders[[#This Row],[Customer Gender]]="M","Male", orders[[#This Row],[Customer Gender]]="F","Female", orders[[#This Row],[Customer Gender]]="O","Other", TRUE,"Unknown")</f>
        <v>Male</v>
      </c>
    </row>
    <row r="1469" spans="1:15" x14ac:dyDescent="0.3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f t="array" ref="O1469">_xlfn.IFS(orders[[#This Row],[Customer Gender]]="M","Male", orders[[#This Row],[Customer Gender]]="F","Female", orders[[#This Row],[Customer Gender]]="O","Other", TRUE,"Unknown")</f>
        <v>Male</v>
      </c>
    </row>
    <row r="1470" spans="1:15" x14ac:dyDescent="0.3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f t="array" ref="O1470">_xlfn.IFS(orders[[#This Row],[Customer Gender]]="M","Male", orders[[#This Row],[Customer Gender]]="F","Female", orders[[#This Row],[Customer Gender]]="O","Other", TRUE,"Unknown")</f>
        <v>Female</v>
      </c>
    </row>
    <row r="1471" spans="1:15" x14ac:dyDescent="0.3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f t="array" ref="O1471">_xlfn.IFS(orders[[#This Row],[Customer Gender]]="M","Male", orders[[#This Row],[Customer Gender]]="F","Female", orders[[#This Row],[Customer Gender]]="O","Other", TRUE,"Unknown")</f>
        <v>Female</v>
      </c>
    </row>
    <row r="1472" spans="1:15" x14ac:dyDescent="0.3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f t="array" ref="O1472">_xlfn.IFS(orders[[#This Row],[Customer Gender]]="M","Male", orders[[#This Row],[Customer Gender]]="F","Female", orders[[#This Row],[Customer Gender]]="O","Other", TRUE,"Unknown")</f>
        <v>Male</v>
      </c>
    </row>
    <row r="1473" spans="1:15" x14ac:dyDescent="0.3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f t="array" ref="O1473">_xlfn.IFS(orders[[#This Row],[Customer Gender]]="M","Male", orders[[#This Row],[Customer Gender]]="F","Female", orders[[#This Row],[Customer Gender]]="O","Other", TRUE,"Unknown")</f>
        <v>Female</v>
      </c>
    </row>
    <row r="1474" spans="1:15" x14ac:dyDescent="0.3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f t="array" ref="O1474">_xlfn.IFS(orders[[#This Row],[Customer Gender]]="M","Male", orders[[#This Row],[Customer Gender]]="F","Female", orders[[#This Row],[Customer Gender]]="O","Other", TRUE,"Unknown")</f>
        <v>Male</v>
      </c>
    </row>
    <row r="1475" spans="1:15" x14ac:dyDescent="0.3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f t="array" ref="O1475">_xlfn.IFS(orders[[#This Row],[Customer Gender]]="M","Male", orders[[#This Row],[Customer Gender]]="F","Female", orders[[#This Row],[Customer Gender]]="O","Other", TRUE,"Unknown")</f>
        <v>Male</v>
      </c>
    </row>
    <row r="1476" spans="1:15" x14ac:dyDescent="0.3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f t="array" ref="O1476">_xlfn.IFS(orders[[#This Row],[Customer Gender]]="M","Male", orders[[#This Row],[Customer Gender]]="F","Female", orders[[#This Row],[Customer Gender]]="O","Other", TRUE,"Unknown")</f>
        <v>Female</v>
      </c>
    </row>
    <row r="1477" spans="1:15" x14ac:dyDescent="0.3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f t="array" ref="O1477">_xlfn.IFS(orders[[#This Row],[Customer Gender]]="M","Male", orders[[#This Row],[Customer Gender]]="F","Female", orders[[#This Row],[Customer Gender]]="O","Other", TRUE,"Unknown")</f>
        <v>Male</v>
      </c>
    </row>
    <row r="1478" spans="1:15" x14ac:dyDescent="0.3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f t="array" ref="O1478">_xlfn.IFS(orders[[#This Row],[Customer Gender]]="M","Male", orders[[#This Row],[Customer Gender]]="F","Female", orders[[#This Row],[Customer Gender]]="O","Other", TRUE,"Unknown")</f>
        <v>Female</v>
      </c>
    </row>
    <row r="1479" spans="1:15" x14ac:dyDescent="0.3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f t="array" ref="O1479">_xlfn.IFS(orders[[#This Row],[Customer Gender]]="M","Male", orders[[#This Row],[Customer Gender]]="F","Female", orders[[#This Row],[Customer Gender]]="O","Other", TRUE,"Unknown")</f>
        <v>Male</v>
      </c>
    </row>
    <row r="1480" spans="1:15" x14ac:dyDescent="0.3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f t="array" ref="O1480">_xlfn.IFS(orders[[#This Row],[Customer Gender]]="M","Male", orders[[#This Row],[Customer Gender]]="F","Female", orders[[#This Row],[Customer Gender]]="O","Other", TRUE,"Unknown")</f>
        <v>Female</v>
      </c>
    </row>
    <row r="1481" spans="1:15" x14ac:dyDescent="0.3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f t="array" ref="O1481">_xlfn.IFS(orders[[#This Row],[Customer Gender]]="M","Male", orders[[#This Row],[Customer Gender]]="F","Female", orders[[#This Row],[Customer Gender]]="O","Other", TRUE,"Unknown")</f>
        <v>Female</v>
      </c>
    </row>
    <row r="1482" spans="1:15" x14ac:dyDescent="0.3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f t="array" ref="O1482">_xlfn.IFS(orders[[#This Row],[Customer Gender]]="M","Male", orders[[#This Row],[Customer Gender]]="F","Female", orders[[#This Row],[Customer Gender]]="O","Other", TRUE,"Unknown")</f>
        <v>Male</v>
      </c>
    </row>
    <row r="1483" spans="1:15" x14ac:dyDescent="0.3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f t="array" ref="O1483">_xlfn.IFS(orders[[#This Row],[Customer Gender]]="M","Male", orders[[#This Row],[Customer Gender]]="F","Female", orders[[#This Row],[Customer Gender]]="O","Other", TRUE,"Unknown")</f>
        <v>Female</v>
      </c>
    </row>
    <row r="1484" spans="1:15" x14ac:dyDescent="0.3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f t="array" ref="O1484">_xlfn.IFS(orders[[#This Row],[Customer Gender]]="M","Male", orders[[#This Row],[Customer Gender]]="F","Female", orders[[#This Row],[Customer Gender]]="O","Other", TRUE,"Unknown")</f>
        <v>Male</v>
      </c>
    </row>
    <row r="1485" spans="1:15" x14ac:dyDescent="0.3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f t="array" ref="O1485">_xlfn.IFS(orders[[#This Row],[Customer Gender]]="M","Male", orders[[#This Row],[Customer Gender]]="F","Female", orders[[#This Row],[Customer Gender]]="O","Other", TRUE,"Unknown")</f>
        <v>Female</v>
      </c>
    </row>
    <row r="1486" spans="1:15" x14ac:dyDescent="0.3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f t="array" ref="O1486">_xlfn.IFS(orders[[#This Row],[Customer Gender]]="M","Male", orders[[#This Row],[Customer Gender]]="F","Female", orders[[#This Row],[Customer Gender]]="O","Other", TRUE,"Unknown")</f>
        <v>Other</v>
      </c>
    </row>
    <row r="1487" spans="1:15" x14ac:dyDescent="0.3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f t="array" ref="O1487">_xlfn.IFS(orders[[#This Row],[Customer Gender]]="M","Male", orders[[#This Row],[Customer Gender]]="F","Female", orders[[#This Row],[Customer Gender]]="O","Other", TRUE,"Unknown")</f>
        <v>Female</v>
      </c>
    </row>
    <row r="1488" spans="1:15" x14ac:dyDescent="0.3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f t="array" ref="O1488">_xlfn.IFS(orders[[#This Row],[Customer Gender]]="M","Male", orders[[#This Row],[Customer Gender]]="F","Female", orders[[#This Row],[Customer Gender]]="O","Other", TRUE,"Unknown")</f>
        <v>Female</v>
      </c>
    </row>
    <row r="1489" spans="1:15" x14ac:dyDescent="0.3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f t="array" ref="O1489">_xlfn.IFS(orders[[#This Row],[Customer Gender]]="M","Male", orders[[#This Row],[Customer Gender]]="F","Female", orders[[#This Row],[Customer Gender]]="O","Other", TRUE,"Unknown")</f>
        <v>Female</v>
      </c>
    </row>
    <row r="1490" spans="1:15" x14ac:dyDescent="0.3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f t="array" ref="O1490">_xlfn.IFS(orders[[#This Row],[Customer Gender]]="M","Male", orders[[#This Row],[Customer Gender]]="F","Female", orders[[#This Row],[Customer Gender]]="O","Other", TRUE,"Unknown")</f>
        <v>Female</v>
      </c>
    </row>
    <row r="1491" spans="1:15" x14ac:dyDescent="0.3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f t="array" ref="O1491">_xlfn.IFS(orders[[#This Row],[Customer Gender]]="M","Male", orders[[#This Row],[Customer Gender]]="F","Female", orders[[#This Row],[Customer Gender]]="O","Other", TRUE,"Unknown")</f>
        <v>Male</v>
      </c>
    </row>
    <row r="1492" spans="1:15" x14ac:dyDescent="0.3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f t="array" ref="O1492">_xlfn.IFS(orders[[#This Row],[Customer Gender]]="M","Male", orders[[#This Row],[Customer Gender]]="F","Female", orders[[#This Row],[Customer Gender]]="O","Other", TRUE,"Unknown")</f>
        <v>Male</v>
      </c>
    </row>
    <row r="1493" spans="1:15" x14ac:dyDescent="0.3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f t="array" ref="O1493">_xlfn.IFS(orders[[#This Row],[Customer Gender]]="M","Male", orders[[#This Row],[Customer Gender]]="F","Female", orders[[#This Row],[Customer Gender]]="O","Other", TRUE,"Unknown")</f>
        <v>Female</v>
      </c>
    </row>
    <row r="1494" spans="1:15" x14ac:dyDescent="0.3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f t="array" ref="O1494">_xlfn.IFS(orders[[#This Row],[Customer Gender]]="M","Male", orders[[#This Row],[Customer Gender]]="F","Female", orders[[#This Row],[Customer Gender]]="O","Other", TRUE,"Unknown")</f>
        <v>Male</v>
      </c>
    </row>
    <row r="1495" spans="1:15" x14ac:dyDescent="0.3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f t="array" ref="O1495">_xlfn.IFS(orders[[#This Row],[Customer Gender]]="M","Male", orders[[#This Row],[Customer Gender]]="F","Female", orders[[#This Row],[Customer Gender]]="O","Other", TRUE,"Unknown")</f>
        <v>Unknown</v>
      </c>
    </row>
    <row r="1496" spans="1:15" x14ac:dyDescent="0.3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f t="array" ref="O1496">_xlfn.IFS(orders[[#This Row],[Customer Gender]]="M","Male", orders[[#This Row],[Customer Gender]]="F","Female", orders[[#This Row],[Customer Gender]]="O","Other", TRUE,"Unknown")</f>
        <v>Female</v>
      </c>
    </row>
    <row r="1497" spans="1:15" x14ac:dyDescent="0.3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f t="array" ref="O1497">_xlfn.IFS(orders[[#This Row],[Customer Gender]]="M","Male", orders[[#This Row],[Customer Gender]]="F","Female", orders[[#This Row],[Customer Gender]]="O","Other", TRUE,"Unknown")</f>
        <v>Male</v>
      </c>
    </row>
    <row r="1498" spans="1:15" x14ac:dyDescent="0.3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f t="array" ref="O1498">_xlfn.IFS(orders[[#This Row],[Customer Gender]]="M","Male", orders[[#This Row],[Customer Gender]]="F","Female", orders[[#This Row],[Customer Gender]]="O","Other", TRUE,"Unknown")</f>
        <v>Female</v>
      </c>
    </row>
    <row r="1499" spans="1:15" x14ac:dyDescent="0.3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f t="array" ref="O1499">_xlfn.IFS(orders[[#This Row],[Customer Gender]]="M","Male", orders[[#This Row],[Customer Gender]]="F","Female", orders[[#This Row],[Customer Gender]]="O","Other", TRUE,"Unknown")</f>
        <v>Unknown</v>
      </c>
    </row>
    <row r="1500" spans="1:15" x14ac:dyDescent="0.3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f t="array" ref="O1500">_xlfn.IFS(orders[[#This Row],[Customer Gender]]="M","Male", orders[[#This Row],[Customer Gender]]="F","Female", orders[[#This Row],[Customer Gender]]="O","Other", TRUE,"Unknown")</f>
        <v>Male</v>
      </c>
    </row>
    <row r="1501" spans="1:15" x14ac:dyDescent="0.3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f t="array" ref="O1501">_xlfn.IFS(orders[[#This Row],[Customer Gender]]="M","Male", orders[[#This Row],[Customer Gender]]="F","Female", orders[[#This Row],[Customer Gender]]="O","Other", TRUE,"Unknown")</f>
        <v>Female</v>
      </c>
    </row>
    <row r="1502" spans="1:15" x14ac:dyDescent="0.3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f t="array" ref="O1502">_xlfn.IFS(orders[[#This Row],[Customer Gender]]="M","Male", orders[[#This Row],[Customer Gender]]="F","Female", orders[[#This Row],[Customer Gender]]="O","Other", TRUE,"Unknown")</f>
        <v>Female</v>
      </c>
    </row>
    <row r="1503" spans="1:15" x14ac:dyDescent="0.3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f t="array" ref="O1503">_xlfn.IFS(orders[[#This Row],[Customer Gender]]="M","Male", orders[[#This Row],[Customer Gender]]="F","Female", orders[[#This Row],[Customer Gender]]="O","Other", TRUE,"Unknown")</f>
        <v>Female</v>
      </c>
    </row>
    <row r="1504" spans="1:15" x14ac:dyDescent="0.3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f t="array" ref="O1504">_xlfn.IFS(orders[[#This Row],[Customer Gender]]="M","Male", orders[[#This Row],[Customer Gender]]="F","Female", orders[[#This Row],[Customer Gender]]="O","Other", TRUE,"Unknown")</f>
        <v>Female</v>
      </c>
    </row>
    <row r="1505" spans="1:15" x14ac:dyDescent="0.3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f t="array" ref="O1505">_xlfn.IFS(orders[[#This Row],[Customer Gender]]="M","Male", orders[[#This Row],[Customer Gender]]="F","Female", orders[[#This Row],[Customer Gender]]="O","Other", TRUE,"Unknown")</f>
        <v>Male</v>
      </c>
    </row>
    <row r="1506" spans="1:15" x14ac:dyDescent="0.3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f t="array" ref="O1506">_xlfn.IFS(orders[[#This Row],[Customer Gender]]="M","Male", orders[[#This Row],[Customer Gender]]="F","Female", orders[[#This Row],[Customer Gender]]="O","Other", TRUE,"Unknown")</f>
        <v>Female</v>
      </c>
    </row>
    <row r="1507" spans="1:15" x14ac:dyDescent="0.3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f t="array" ref="O1507">_xlfn.IFS(orders[[#This Row],[Customer Gender]]="M","Male", orders[[#This Row],[Customer Gender]]="F","Female", orders[[#This Row],[Customer Gender]]="O","Other", TRUE,"Unknown")</f>
        <v>Male</v>
      </c>
    </row>
    <row r="1508" spans="1:15" x14ac:dyDescent="0.3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f t="array" ref="O1508">_xlfn.IFS(orders[[#This Row],[Customer Gender]]="M","Male", orders[[#This Row],[Customer Gender]]="F","Female", orders[[#This Row],[Customer Gender]]="O","Other", TRUE,"Unknown")</f>
        <v>Male</v>
      </c>
    </row>
    <row r="1509" spans="1:15" x14ac:dyDescent="0.3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f t="array" ref="O1509">_xlfn.IFS(orders[[#This Row],[Customer Gender]]="M","Male", orders[[#This Row],[Customer Gender]]="F","Female", orders[[#This Row],[Customer Gender]]="O","Other", TRUE,"Unknown")</f>
        <v>Male</v>
      </c>
    </row>
    <row r="1510" spans="1:15" x14ac:dyDescent="0.3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f t="array" ref="O1510">_xlfn.IFS(orders[[#This Row],[Customer Gender]]="M","Male", orders[[#This Row],[Customer Gender]]="F","Female", orders[[#This Row],[Customer Gender]]="O","Other", TRUE,"Unknown")</f>
        <v>Male</v>
      </c>
    </row>
    <row r="1511" spans="1:15" x14ac:dyDescent="0.3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f t="array" ref="O1511">_xlfn.IFS(orders[[#This Row],[Customer Gender]]="M","Male", orders[[#This Row],[Customer Gender]]="F","Female", orders[[#This Row],[Customer Gender]]="O","Other", TRUE,"Unknown")</f>
        <v>Male</v>
      </c>
    </row>
    <row r="1512" spans="1:15" x14ac:dyDescent="0.3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f t="array" ref="O1512">_xlfn.IFS(orders[[#This Row],[Customer Gender]]="M","Male", orders[[#This Row],[Customer Gender]]="F","Female", orders[[#This Row],[Customer Gender]]="O","Other", TRUE,"Unknown")</f>
        <v>Male</v>
      </c>
    </row>
    <row r="1513" spans="1:15" x14ac:dyDescent="0.3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f t="array" ref="O1513">_xlfn.IFS(orders[[#This Row],[Customer Gender]]="M","Male", orders[[#This Row],[Customer Gender]]="F","Female", orders[[#This Row],[Customer Gender]]="O","Other", TRUE,"Unknown")</f>
        <v>Female</v>
      </c>
    </row>
    <row r="1514" spans="1:15" x14ac:dyDescent="0.3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f t="array" ref="O1514">_xlfn.IFS(orders[[#This Row],[Customer Gender]]="M","Male", orders[[#This Row],[Customer Gender]]="F","Female", orders[[#This Row],[Customer Gender]]="O","Other", TRUE,"Unknown")</f>
        <v>Female</v>
      </c>
    </row>
    <row r="1515" spans="1:15" x14ac:dyDescent="0.3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f t="array" ref="O1515">_xlfn.IFS(orders[[#This Row],[Customer Gender]]="M","Male", orders[[#This Row],[Customer Gender]]="F","Female", orders[[#This Row],[Customer Gender]]="O","Other", TRUE,"Unknown")</f>
        <v>Female</v>
      </c>
    </row>
    <row r="1516" spans="1:15" x14ac:dyDescent="0.3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f t="array" ref="O1516">_xlfn.IFS(orders[[#This Row],[Customer Gender]]="M","Male", orders[[#This Row],[Customer Gender]]="F","Female", orders[[#This Row],[Customer Gender]]="O","Other", TRUE,"Unknown")</f>
        <v>Female</v>
      </c>
    </row>
    <row r="1517" spans="1:15" x14ac:dyDescent="0.3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f t="array" ref="O1517">_xlfn.IFS(orders[[#This Row],[Customer Gender]]="M","Male", orders[[#This Row],[Customer Gender]]="F","Female", orders[[#This Row],[Customer Gender]]="O","Other", TRUE,"Unknown")</f>
        <v>Female</v>
      </c>
    </row>
    <row r="1518" spans="1:15" x14ac:dyDescent="0.3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f t="array" ref="O1518">_xlfn.IFS(orders[[#This Row],[Customer Gender]]="M","Male", orders[[#This Row],[Customer Gender]]="F","Female", orders[[#This Row],[Customer Gender]]="O","Other", TRUE,"Unknown")</f>
        <v>Male</v>
      </c>
    </row>
    <row r="1519" spans="1:15" x14ac:dyDescent="0.3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f t="array" ref="O1519">_xlfn.IFS(orders[[#This Row],[Customer Gender]]="M","Male", orders[[#This Row],[Customer Gender]]="F","Female", orders[[#This Row],[Customer Gender]]="O","Other", TRUE,"Unknown")</f>
        <v>Female</v>
      </c>
    </row>
    <row r="1520" spans="1:15" x14ac:dyDescent="0.3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f t="array" ref="O1520">_xlfn.IFS(orders[[#This Row],[Customer Gender]]="M","Male", orders[[#This Row],[Customer Gender]]="F","Female", orders[[#This Row],[Customer Gender]]="O","Other", TRUE,"Unknown")</f>
        <v>Male</v>
      </c>
    </row>
    <row r="1521" spans="1:15" x14ac:dyDescent="0.3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f t="array" ref="O1521">_xlfn.IFS(orders[[#This Row],[Customer Gender]]="M","Male", orders[[#This Row],[Customer Gender]]="F","Female", orders[[#This Row],[Customer Gender]]="O","Other", TRUE,"Unknown")</f>
        <v>Female</v>
      </c>
    </row>
    <row r="1522" spans="1:15" x14ac:dyDescent="0.3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f t="array" ref="O1522">_xlfn.IFS(orders[[#This Row],[Customer Gender]]="M","Male", orders[[#This Row],[Customer Gender]]="F","Female", orders[[#This Row],[Customer Gender]]="O","Other", TRUE,"Unknown")</f>
        <v>Male</v>
      </c>
    </row>
    <row r="1523" spans="1:15" x14ac:dyDescent="0.3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f t="array" ref="O1523">_xlfn.IFS(orders[[#This Row],[Customer Gender]]="M","Male", orders[[#This Row],[Customer Gender]]="F","Female", orders[[#This Row],[Customer Gender]]="O","Other", TRUE,"Unknown")</f>
        <v>Male</v>
      </c>
    </row>
    <row r="1524" spans="1:15" x14ac:dyDescent="0.3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f t="array" ref="O1524">_xlfn.IFS(orders[[#This Row],[Customer Gender]]="M","Male", orders[[#This Row],[Customer Gender]]="F","Female", orders[[#This Row],[Customer Gender]]="O","Other", TRUE,"Unknown")</f>
        <v>Female</v>
      </c>
    </row>
    <row r="1525" spans="1:15" x14ac:dyDescent="0.3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f t="array" ref="O1525">_xlfn.IFS(orders[[#This Row],[Customer Gender]]="M","Male", orders[[#This Row],[Customer Gender]]="F","Female", orders[[#This Row],[Customer Gender]]="O","Other", TRUE,"Unknown")</f>
        <v>Unknown</v>
      </c>
    </row>
    <row r="1526" spans="1:15" x14ac:dyDescent="0.3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f t="array" ref="O1526">_xlfn.IFS(orders[[#This Row],[Customer Gender]]="M","Male", orders[[#This Row],[Customer Gender]]="F","Female", orders[[#This Row],[Customer Gender]]="O","Other", TRUE,"Unknown")</f>
        <v>Unknown</v>
      </c>
    </row>
    <row r="1527" spans="1:15" x14ac:dyDescent="0.3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f t="array" ref="O1527">_xlfn.IFS(orders[[#This Row],[Customer Gender]]="M","Male", orders[[#This Row],[Customer Gender]]="F","Female", orders[[#This Row],[Customer Gender]]="O","Other", TRUE,"Unknown")</f>
        <v>Male</v>
      </c>
    </row>
    <row r="1528" spans="1:15" x14ac:dyDescent="0.3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f t="array" ref="O1528">_xlfn.IFS(orders[[#This Row],[Customer Gender]]="M","Male", orders[[#This Row],[Customer Gender]]="F","Female", orders[[#This Row],[Customer Gender]]="O","Other", TRUE,"Unknown")</f>
        <v>Male</v>
      </c>
    </row>
    <row r="1529" spans="1:15" x14ac:dyDescent="0.3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f t="array" ref="O1529">_xlfn.IFS(orders[[#This Row],[Customer Gender]]="M","Male", orders[[#This Row],[Customer Gender]]="F","Female", orders[[#This Row],[Customer Gender]]="O","Other", TRUE,"Unknown")</f>
        <v>Male</v>
      </c>
    </row>
    <row r="1530" spans="1:15" x14ac:dyDescent="0.3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f t="array" ref="O1530">_xlfn.IFS(orders[[#This Row],[Customer Gender]]="M","Male", orders[[#This Row],[Customer Gender]]="F","Female", orders[[#This Row],[Customer Gender]]="O","Other", TRUE,"Unknown")</f>
        <v>Unknown</v>
      </c>
    </row>
    <row r="1531" spans="1:15" x14ac:dyDescent="0.3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f t="array" ref="O1531">_xlfn.IFS(orders[[#This Row],[Customer Gender]]="M","Male", orders[[#This Row],[Customer Gender]]="F","Female", orders[[#This Row],[Customer Gender]]="O","Other", TRUE,"Unknown")</f>
        <v>Male</v>
      </c>
    </row>
    <row r="1532" spans="1:15" x14ac:dyDescent="0.3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f t="array" ref="O1532">_xlfn.IFS(orders[[#This Row],[Customer Gender]]="M","Male", orders[[#This Row],[Customer Gender]]="F","Female", orders[[#This Row],[Customer Gender]]="O","Other", TRUE,"Unknown")</f>
        <v>Unknown</v>
      </c>
    </row>
    <row r="1533" spans="1:15" x14ac:dyDescent="0.3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f t="array" ref="O1533">_xlfn.IFS(orders[[#This Row],[Customer Gender]]="M","Male", orders[[#This Row],[Customer Gender]]="F","Female", orders[[#This Row],[Customer Gender]]="O","Other", TRUE,"Unknown")</f>
        <v>Male</v>
      </c>
    </row>
    <row r="1534" spans="1:15" x14ac:dyDescent="0.3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f t="array" ref="O1534">_xlfn.IFS(orders[[#This Row],[Customer Gender]]="M","Male", orders[[#This Row],[Customer Gender]]="F","Female", orders[[#This Row],[Customer Gender]]="O","Other", TRUE,"Unknown")</f>
        <v>Unknown</v>
      </c>
    </row>
    <row r="1535" spans="1:15" x14ac:dyDescent="0.3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f t="array" ref="O1535">_xlfn.IFS(orders[[#This Row],[Customer Gender]]="M","Male", orders[[#This Row],[Customer Gender]]="F","Female", orders[[#This Row],[Customer Gender]]="O","Other", TRUE,"Unknown")</f>
        <v>Female</v>
      </c>
    </row>
    <row r="1536" spans="1:15" x14ac:dyDescent="0.3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f t="array" ref="O1536">_xlfn.IFS(orders[[#This Row],[Customer Gender]]="M","Male", orders[[#This Row],[Customer Gender]]="F","Female", orders[[#This Row],[Customer Gender]]="O","Other", TRUE,"Unknown")</f>
        <v>Female</v>
      </c>
    </row>
    <row r="1537" spans="1:15" x14ac:dyDescent="0.3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f t="array" ref="O1537">_xlfn.IFS(orders[[#This Row],[Customer Gender]]="M","Male", orders[[#This Row],[Customer Gender]]="F","Female", orders[[#This Row],[Customer Gender]]="O","Other", TRUE,"Unknown")</f>
        <v>Male</v>
      </c>
    </row>
    <row r="1538" spans="1:15" x14ac:dyDescent="0.3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f t="array" ref="O1538">_xlfn.IFS(orders[[#This Row],[Customer Gender]]="M","Male", orders[[#This Row],[Customer Gender]]="F","Female", orders[[#This Row],[Customer Gender]]="O","Other", TRUE,"Unknown")</f>
        <v>Male</v>
      </c>
    </row>
    <row r="1539" spans="1:15" x14ac:dyDescent="0.3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f t="array" ref="O1539">_xlfn.IFS(orders[[#This Row],[Customer Gender]]="M","Male", orders[[#This Row],[Customer Gender]]="F","Female", orders[[#This Row],[Customer Gender]]="O","Other", TRUE,"Unknown")</f>
        <v>Female</v>
      </c>
    </row>
    <row r="1540" spans="1:15" x14ac:dyDescent="0.3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f t="array" ref="O1540">_xlfn.IFS(orders[[#This Row],[Customer Gender]]="M","Male", orders[[#This Row],[Customer Gender]]="F","Female", orders[[#This Row],[Customer Gender]]="O","Other", TRUE,"Unknown")</f>
        <v>Female</v>
      </c>
    </row>
    <row r="1541" spans="1:15" x14ac:dyDescent="0.3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f t="array" ref="O1541">_xlfn.IFS(orders[[#This Row],[Customer Gender]]="M","Male", orders[[#This Row],[Customer Gender]]="F","Female", orders[[#This Row],[Customer Gender]]="O","Other", TRUE,"Unknown")</f>
        <v>Female</v>
      </c>
    </row>
    <row r="1542" spans="1:15" x14ac:dyDescent="0.3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f t="array" ref="O1542">_xlfn.IFS(orders[[#This Row],[Customer Gender]]="M","Male", orders[[#This Row],[Customer Gender]]="F","Female", orders[[#This Row],[Customer Gender]]="O","Other", TRUE,"Unknown")</f>
        <v>Male</v>
      </c>
    </row>
    <row r="1543" spans="1:15" x14ac:dyDescent="0.3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f t="array" ref="O1543">_xlfn.IFS(orders[[#This Row],[Customer Gender]]="M","Male", orders[[#This Row],[Customer Gender]]="F","Female", orders[[#This Row],[Customer Gender]]="O","Other", TRUE,"Unknown")</f>
        <v>Male</v>
      </c>
    </row>
    <row r="1544" spans="1:15" x14ac:dyDescent="0.3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f t="array" ref="O1544">_xlfn.IFS(orders[[#This Row],[Customer Gender]]="M","Male", orders[[#This Row],[Customer Gender]]="F","Female", orders[[#This Row],[Customer Gender]]="O","Other", TRUE,"Unknown")</f>
        <v>Male</v>
      </c>
    </row>
    <row r="1545" spans="1:15" x14ac:dyDescent="0.3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f t="array" ref="O1545">_xlfn.IFS(orders[[#This Row],[Customer Gender]]="M","Male", orders[[#This Row],[Customer Gender]]="F","Female", orders[[#This Row],[Customer Gender]]="O","Other", TRUE,"Unknown")</f>
        <v>Female</v>
      </c>
    </row>
    <row r="1546" spans="1:15" x14ac:dyDescent="0.3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f t="array" ref="O1546">_xlfn.IFS(orders[[#This Row],[Customer Gender]]="M","Male", orders[[#This Row],[Customer Gender]]="F","Female", orders[[#This Row],[Customer Gender]]="O","Other", TRUE,"Unknown")</f>
        <v>Female</v>
      </c>
    </row>
    <row r="1547" spans="1:15" x14ac:dyDescent="0.3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f t="array" ref="O1547">_xlfn.IFS(orders[[#This Row],[Customer Gender]]="M","Male", orders[[#This Row],[Customer Gender]]="F","Female", orders[[#This Row],[Customer Gender]]="O","Other", TRUE,"Unknown")</f>
        <v>Female</v>
      </c>
    </row>
    <row r="1548" spans="1:15" x14ac:dyDescent="0.3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f t="array" ref="O1548">_xlfn.IFS(orders[[#This Row],[Customer Gender]]="M","Male", orders[[#This Row],[Customer Gender]]="F","Female", orders[[#This Row],[Customer Gender]]="O","Other", TRUE,"Unknown")</f>
        <v>Female</v>
      </c>
    </row>
    <row r="1549" spans="1:15" x14ac:dyDescent="0.3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f t="array" ref="O1549">_xlfn.IFS(orders[[#This Row],[Customer Gender]]="M","Male", orders[[#This Row],[Customer Gender]]="F","Female", orders[[#This Row],[Customer Gender]]="O","Other", TRUE,"Unknown")</f>
        <v>Female</v>
      </c>
    </row>
    <row r="1550" spans="1:15" x14ac:dyDescent="0.3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f t="array" ref="O1550">_xlfn.IFS(orders[[#This Row],[Customer Gender]]="M","Male", orders[[#This Row],[Customer Gender]]="F","Female", orders[[#This Row],[Customer Gender]]="O","Other", TRUE,"Unknown")</f>
        <v>Female</v>
      </c>
    </row>
    <row r="1551" spans="1:15" x14ac:dyDescent="0.3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f t="array" ref="O1551">_xlfn.IFS(orders[[#This Row],[Customer Gender]]="M","Male", orders[[#This Row],[Customer Gender]]="F","Female", orders[[#This Row],[Customer Gender]]="O","Other", TRUE,"Unknown")</f>
        <v>Male</v>
      </c>
    </row>
    <row r="1552" spans="1:15" x14ac:dyDescent="0.3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f t="array" ref="O1552">_xlfn.IFS(orders[[#This Row],[Customer Gender]]="M","Male", orders[[#This Row],[Customer Gender]]="F","Female", orders[[#This Row],[Customer Gender]]="O","Other", TRUE,"Unknown")</f>
        <v>Male</v>
      </c>
    </row>
    <row r="1553" spans="1:15" x14ac:dyDescent="0.3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f t="array" ref="O1553">_xlfn.IFS(orders[[#This Row],[Customer Gender]]="M","Male", orders[[#This Row],[Customer Gender]]="F","Female", orders[[#This Row],[Customer Gender]]="O","Other", TRUE,"Unknown")</f>
        <v>Male</v>
      </c>
    </row>
    <row r="1554" spans="1:15" x14ac:dyDescent="0.3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f t="array" ref="O1554">_xlfn.IFS(orders[[#This Row],[Customer Gender]]="M","Male", orders[[#This Row],[Customer Gender]]="F","Female", orders[[#This Row],[Customer Gender]]="O","Other", TRUE,"Unknown")</f>
        <v>Male</v>
      </c>
    </row>
    <row r="1555" spans="1:15" x14ac:dyDescent="0.3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f t="array" ref="O1555">_xlfn.IFS(orders[[#This Row],[Customer Gender]]="M","Male", orders[[#This Row],[Customer Gender]]="F","Female", orders[[#This Row],[Customer Gender]]="O","Other", TRUE,"Unknown")</f>
        <v>Female</v>
      </c>
    </row>
    <row r="1556" spans="1:15" x14ac:dyDescent="0.3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f t="array" ref="O1556">_xlfn.IFS(orders[[#This Row],[Customer Gender]]="M","Male", orders[[#This Row],[Customer Gender]]="F","Female", orders[[#This Row],[Customer Gender]]="O","Other", TRUE,"Unknown")</f>
        <v>Female</v>
      </c>
    </row>
    <row r="1557" spans="1:15" x14ac:dyDescent="0.3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f t="array" ref="O1557">_xlfn.IFS(orders[[#This Row],[Customer Gender]]="M","Male", orders[[#This Row],[Customer Gender]]="F","Female", orders[[#This Row],[Customer Gender]]="O","Other", TRUE,"Unknown")</f>
        <v>Unknown</v>
      </c>
    </row>
    <row r="1558" spans="1:15" x14ac:dyDescent="0.3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f t="array" ref="O1558">_xlfn.IFS(orders[[#This Row],[Customer Gender]]="M","Male", orders[[#This Row],[Customer Gender]]="F","Female", orders[[#This Row],[Customer Gender]]="O","Other", TRUE,"Unknown")</f>
        <v>Male</v>
      </c>
    </row>
    <row r="1559" spans="1:15" x14ac:dyDescent="0.3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f t="array" ref="O1559">_xlfn.IFS(orders[[#This Row],[Customer Gender]]="M","Male", orders[[#This Row],[Customer Gender]]="F","Female", orders[[#This Row],[Customer Gender]]="O","Other", TRUE,"Unknown")</f>
        <v>Male</v>
      </c>
    </row>
    <row r="1560" spans="1:15" x14ac:dyDescent="0.3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f t="array" ref="O1560">_xlfn.IFS(orders[[#This Row],[Customer Gender]]="M","Male", orders[[#This Row],[Customer Gender]]="F","Female", orders[[#This Row],[Customer Gender]]="O","Other", TRUE,"Unknown")</f>
        <v>Other</v>
      </c>
    </row>
    <row r="1561" spans="1:15" x14ac:dyDescent="0.3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f t="array" ref="O1561">_xlfn.IFS(orders[[#This Row],[Customer Gender]]="M","Male", orders[[#This Row],[Customer Gender]]="F","Female", orders[[#This Row],[Customer Gender]]="O","Other", TRUE,"Unknown")</f>
        <v>Female</v>
      </c>
    </row>
    <row r="1562" spans="1:15" x14ac:dyDescent="0.3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f t="array" ref="O1562">_xlfn.IFS(orders[[#This Row],[Customer Gender]]="M","Male", orders[[#This Row],[Customer Gender]]="F","Female", orders[[#This Row],[Customer Gender]]="O","Other", TRUE,"Unknown")</f>
        <v>Female</v>
      </c>
    </row>
    <row r="1563" spans="1:15" x14ac:dyDescent="0.3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f t="array" ref="O1563">_xlfn.IFS(orders[[#This Row],[Customer Gender]]="M","Male", orders[[#This Row],[Customer Gender]]="F","Female", orders[[#This Row],[Customer Gender]]="O","Other", TRUE,"Unknown")</f>
        <v>Other</v>
      </c>
    </row>
    <row r="1564" spans="1:15" x14ac:dyDescent="0.3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f t="array" ref="O1564">_xlfn.IFS(orders[[#This Row],[Customer Gender]]="M","Male", orders[[#This Row],[Customer Gender]]="F","Female", orders[[#This Row],[Customer Gender]]="O","Other", TRUE,"Unknown")</f>
        <v>Female</v>
      </c>
    </row>
    <row r="1565" spans="1:15" x14ac:dyDescent="0.3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f t="array" ref="O1565">_xlfn.IFS(orders[[#This Row],[Customer Gender]]="M","Male", orders[[#This Row],[Customer Gender]]="F","Female", orders[[#This Row],[Customer Gender]]="O","Other", TRUE,"Unknown")</f>
        <v>Female</v>
      </c>
    </row>
    <row r="1566" spans="1:15" x14ac:dyDescent="0.3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f t="array" ref="O1566">_xlfn.IFS(orders[[#This Row],[Customer Gender]]="M","Male", orders[[#This Row],[Customer Gender]]="F","Female", orders[[#This Row],[Customer Gender]]="O","Other", TRUE,"Unknown")</f>
        <v>Male</v>
      </c>
    </row>
    <row r="1567" spans="1:15" x14ac:dyDescent="0.3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f t="array" ref="O1567">_xlfn.IFS(orders[[#This Row],[Customer Gender]]="M","Male", orders[[#This Row],[Customer Gender]]="F","Female", orders[[#This Row],[Customer Gender]]="O","Other", TRUE,"Unknown")</f>
        <v>Male</v>
      </c>
    </row>
    <row r="1568" spans="1:15" x14ac:dyDescent="0.3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f t="array" ref="O1568">_xlfn.IFS(orders[[#This Row],[Customer Gender]]="M","Male", orders[[#This Row],[Customer Gender]]="F","Female", orders[[#This Row],[Customer Gender]]="O","Other", TRUE,"Unknown")</f>
        <v>Female</v>
      </c>
    </row>
    <row r="1569" spans="1:15" x14ac:dyDescent="0.3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f t="array" ref="O1569">_xlfn.IFS(orders[[#This Row],[Customer Gender]]="M","Male", orders[[#This Row],[Customer Gender]]="F","Female", orders[[#This Row],[Customer Gender]]="O","Other", TRUE,"Unknown")</f>
        <v>Male</v>
      </c>
    </row>
    <row r="1570" spans="1:15" x14ac:dyDescent="0.3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f t="array" ref="O1570">_xlfn.IFS(orders[[#This Row],[Customer Gender]]="M","Male", orders[[#This Row],[Customer Gender]]="F","Female", orders[[#This Row],[Customer Gender]]="O","Other", TRUE,"Unknown")</f>
        <v>Female</v>
      </c>
    </row>
    <row r="1571" spans="1:15" x14ac:dyDescent="0.3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f t="array" ref="O1571">_xlfn.IFS(orders[[#This Row],[Customer Gender]]="M","Male", orders[[#This Row],[Customer Gender]]="F","Female", orders[[#This Row],[Customer Gender]]="O","Other", TRUE,"Unknown")</f>
        <v>Male</v>
      </c>
    </row>
    <row r="1572" spans="1:15" x14ac:dyDescent="0.3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f t="array" ref="O1572">_xlfn.IFS(orders[[#This Row],[Customer Gender]]="M","Male", orders[[#This Row],[Customer Gender]]="F","Female", orders[[#This Row],[Customer Gender]]="O","Other", TRUE,"Unknown")</f>
        <v>Male</v>
      </c>
    </row>
    <row r="1573" spans="1:15" x14ac:dyDescent="0.3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f t="array" ref="O1573">_xlfn.IFS(orders[[#This Row],[Customer Gender]]="M","Male", orders[[#This Row],[Customer Gender]]="F","Female", orders[[#This Row],[Customer Gender]]="O","Other", TRUE,"Unknown")</f>
        <v>Male</v>
      </c>
    </row>
    <row r="1574" spans="1:15" x14ac:dyDescent="0.3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f t="array" ref="O1574">_xlfn.IFS(orders[[#This Row],[Customer Gender]]="M","Male", orders[[#This Row],[Customer Gender]]="F","Female", orders[[#This Row],[Customer Gender]]="O","Other", TRUE,"Unknown")</f>
        <v>Female</v>
      </c>
    </row>
    <row r="1575" spans="1:15" x14ac:dyDescent="0.3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f t="array" ref="O1575">_xlfn.IFS(orders[[#This Row],[Customer Gender]]="M","Male", orders[[#This Row],[Customer Gender]]="F","Female", orders[[#This Row],[Customer Gender]]="O","Other", TRUE,"Unknown")</f>
        <v>Female</v>
      </c>
    </row>
    <row r="1576" spans="1:15" x14ac:dyDescent="0.3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f t="array" ref="O1576">_xlfn.IFS(orders[[#This Row],[Customer Gender]]="M","Male", orders[[#This Row],[Customer Gender]]="F","Female", orders[[#This Row],[Customer Gender]]="O","Other", TRUE,"Unknown")</f>
        <v>Female</v>
      </c>
    </row>
    <row r="1577" spans="1:15" x14ac:dyDescent="0.3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f t="array" ref="O1577">_xlfn.IFS(orders[[#This Row],[Customer Gender]]="M","Male", orders[[#This Row],[Customer Gender]]="F","Female", orders[[#This Row],[Customer Gender]]="O","Other", TRUE,"Unknown")</f>
        <v>Female</v>
      </c>
    </row>
    <row r="1578" spans="1:15" x14ac:dyDescent="0.3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f t="array" ref="O1578">_xlfn.IFS(orders[[#This Row],[Customer Gender]]="M","Male", orders[[#This Row],[Customer Gender]]="F","Female", orders[[#This Row],[Customer Gender]]="O","Other", TRUE,"Unknown")</f>
        <v>Female</v>
      </c>
    </row>
    <row r="1579" spans="1:15" x14ac:dyDescent="0.3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f t="array" ref="O1579">_xlfn.IFS(orders[[#This Row],[Customer Gender]]="M","Male", orders[[#This Row],[Customer Gender]]="F","Female", orders[[#This Row],[Customer Gender]]="O","Other", TRUE,"Unknown")</f>
        <v>Female</v>
      </c>
    </row>
    <row r="1580" spans="1:15" x14ac:dyDescent="0.3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f t="array" ref="O1580">_xlfn.IFS(orders[[#This Row],[Customer Gender]]="M","Male", orders[[#This Row],[Customer Gender]]="F","Female", orders[[#This Row],[Customer Gender]]="O","Other", TRUE,"Unknown")</f>
        <v>Female</v>
      </c>
    </row>
    <row r="1581" spans="1:15" x14ac:dyDescent="0.3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f t="array" ref="O1581">_xlfn.IFS(orders[[#This Row],[Customer Gender]]="M","Male", orders[[#This Row],[Customer Gender]]="F","Female", orders[[#This Row],[Customer Gender]]="O","Other", TRUE,"Unknown")</f>
        <v>Female</v>
      </c>
    </row>
    <row r="1582" spans="1:15" x14ac:dyDescent="0.3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f t="array" ref="O1582">_xlfn.IFS(orders[[#This Row],[Customer Gender]]="M","Male", orders[[#This Row],[Customer Gender]]="F","Female", orders[[#This Row],[Customer Gender]]="O","Other", TRUE,"Unknown")</f>
        <v>Male</v>
      </c>
    </row>
    <row r="1583" spans="1:15" x14ac:dyDescent="0.3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f t="array" ref="O1583">_xlfn.IFS(orders[[#This Row],[Customer Gender]]="M","Male", orders[[#This Row],[Customer Gender]]="F","Female", orders[[#This Row],[Customer Gender]]="O","Other", TRUE,"Unknown")</f>
        <v>Female</v>
      </c>
    </row>
    <row r="1584" spans="1:15" x14ac:dyDescent="0.3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f t="array" ref="O1584">_xlfn.IFS(orders[[#This Row],[Customer Gender]]="M","Male", orders[[#This Row],[Customer Gender]]="F","Female", orders[[#This Row],[Customer Gender]]="O","Other", TRUE,"Unknown")</f>
        <v>Male</v>
      </c>
    </row>
    <row r="1585" spans="1:15" x14ac:dyDescent="0.3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f t="array" ref="O1585">_xlfn.IFS(orders[[#This Row],[Customer Gender]]="M","Male", orders[[#This Row],[Customer Gender]]="F","Female", orders[[#This Row],[Customer Gender]]="O","Other", TRUE,"Unknown")</f>
        <v>Female</v>
      </c>
    </row>
    <row r="1586" spans="1:15" x14ac:dyDescent="0.3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f t="array" ref="O1586">_xlfn.IFS(orders[[#This Row],[Customer Gender]]="M","Male", orders[[#This Row],[Customer Gender]]="F","Female", orders[[#This Row],[Customer Gender]]="O","Other", TRUE,"Unknown")</f>
        <v>Unknown</v>
      </c>
    </row>
    <row r="1587" spans="1:15" x14ac:dyDescent="0.3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f t="array" ref="O1587">_xlfn.IFS(orders[[#This Row],[Customer Gender]]="M","Male", orders[[#This Row],[Customer Gender]]="F","Female", orders[[#This Row],[Customer Gender]]="O","Other", TRUE,"Unknown")</f>
        <v>Male</v>
      </c>
    </row>
    <row r="1588" spans="1:15" x14ac:dyDescent="0.3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f t="array" ref="O1588">_xlfn.IFS(orders[[#This Row],[Customer Gender]]="M","Male", orders[[#This Row],[Customer Gender]]="F","Female", orders[[#This Row],[Customer Gender]]="O","Other", TRUE,"Unknown")</f>
        <v>Female</v>
      </c>
    </row>
    <row r="1589" spans="1:15" x14ac:dyDescent="0.3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f t="array" ref="O1589">_xlfn.IFS(orders[[#This Row],[Customer Gender]]="M","Male", orders[[#This Row],[Customer Gender]]="F","Female", orders[[#This Row],[Customer Gender]]="O","Other", TRUE,"Unknown")</f>
        <v>Male</v>
      </c>
    </row>
    <row r="1590" spans="1:15" x14ac:dyDescent="0.3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f t="array" ref="O1590">_xlfn.IFS(orders[[#This Row],[Customer Gender]]="M","Male", orders[[#This Row],[Customer Gender]]="F","Female", orders[[#This Row],[Customer Gender]]="O","Other", TRUE,"Unknown")</f>
        <v>Other</v>
      </c>
    </row>
    <row r="1591" spans="1:15" x14ac:dyDescent="0.3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f t="array" ref="O1591">_xlfn.IFS(orders[[#This Row],[Customer Gender]]="M","Male", orders[[#This Row],[Customer Gender]]="F","Female", orders[[#This Row],[Customer Gender]]="O","Other", TRUE,"Unknown")</f>
        <v>Female</v>
      </c>
    </row>
    <row r="1592" spans="1:15" x14ac:dyDescent="0.3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f t="array" ref="O1592">_xlfn.IFS(orders[[#This Row],[Customer Gender]]="M","Male", orders[[#This Row],[Customer Gender]]="F","Female", orders[[#This Row],[Customer Gender]]="O","Other", TRUE,"Unknown")</f>
        <v>Female</v>
      </c>
    </row>
    <row r="1593" spans="1:15" x14ac:dyDescent="0.3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f t="array" ref="O1593">_xlfn.IFS(orders[[#This Row],[Customer Gender]]="M","Male", orders[[#This Row],[Customer Gender]]="F","Female", orders[[#This Row],[Customer Gender]]="O","Other", TRUE,"Unknown")</f>
        <v>Female</v>
      </c>
    </row>
    <row r="1594" spans="1:15" x14ac:dyDescent="0.3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f t="array" ref="O1594">_xlfn.IFS(orders[[#This Row],[Customer Gender]]="M","Male", orders[[#This Row],[Customer Gender]]="F","Female", orders[[#This Row],[Customer Gender]]="O","Other", TRUE,"Unknown")</f>
        <v>Female</v>
      </c>
    </row>
    <row r="1595" spans="1:15" x14ac:dyDescent="0.3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f t="array" ref="O1595">_xlfn.IFS(orders[[#This Row],[Customer Gender]]="M","Male", orders[[#This Row],[Customer Gender]]="F","Female", orders[[#This Row],[Customer Gender]]="O","Other", TRUE,"Unknown")</f>
        <v>Male</v>
      </c>
    </row>
    <row r="1596" spans="1:15" x14ac:dyDescent="0.3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f t="array" ref="O1596">_xlfn.IFS(orders[[#This Row],[Customer Gender]]="M","Male", orders[[#This Row],[Customer Gender]]="F","Female", orders[[#This Row],[Customer Gender]]="O","Other", TRUE,"Unknown")</f>
        <v>Female</v>
      </c>
    </row>
    <row r="1597" spans="1:15" x14ac:dyDescent="0.3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f t="array" ref="O1597">_xlfn.IFS(orders[[#This Row],[Customer Gender]]="M","Male", orders[[#This Row],[Customer Gender]]="F","Female", orders[[#This Row],[Customer Gender]]="O","Other", TRUE,"Unknown")</f>
        <v>Male</v>
      </c>
    </row>
    <row r="1598" spans="1:15" x14ac:dyDescent="0.3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f t="array" ref="O1598">_xlfn.IFS(orders[[#This Row],[Customer Gender]]="M","Male", orders[[#This Row],[Customer Gender]]="F","Female", orders[[#This Row],[Customer Gender]]="O","Other", TRUE,"Unknown")</f>
        <v>Unknown</v>
      </c>
    </row>
    <row r="1599" spans="1:15" x14ac:dyDescent="0.3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f t="array" ref="O1599">_xlfn.IFS(orders[[#This Row],[Customer Gender]]="M","Male", orders[[#This Row],[Customer Gender]]="F","Female", orders[[#This Row],[Customer Gender]]="O","Other", TRUE,"Unknown")</f>
        <v>Female</v>
      </c>
    </row>
    <row r="1600" spans="1:15" x14ac:dyDescent="0.3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f t="array" ref="O1600">_xlfn.IFS(orders[[#This Row],[Customer Gender]]="M","Male", orders[[#This Row],[Customer Gender]]="F","Female", orders[[#This Row],[Customer Gender]]="O","Other", TRUE,"Unknown")</f>
        <v>Female</v>
      </c>
    </row>
    <row r="1601" spans="1:15" x14ac:dyDescent="0.3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f t="array" ref="O1601">_xlfn.IFS(orders[[#This Row],[Customer Gender]]="M","Male", orders[[#This Row],[Customer Gender]]="F","Female", orders[[#This Row],[Customer Gender]]="O","Other", TRUE,"Unknown")</f>
        <v>Female</v>
      </c>
    </row>
    <row r="1602" spans="1:15" x14ac:dyDescent="0.3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f t="array" ref="O1602">_xlfn.IFS(orders[[#This Row],[Customer Gender]]="M","Male", orders[[#This Row],[Customer Gender]]="F","Female", orders[[#This Row],[Customer Gender]]="O","Other", TRUE,"Unknown")</f>
        <v>Male</v>
      </c>
    </row>
    <row r="1603" spans="1:15" x14ac:dyDescent="0.3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f t="array" ref="O1603">_xlfn.IFS(orders[[#This Row],[Customer Gender]]="M","Male", orders[[#This Row],[Customer Gender]]="F","Female", orders[[#This Row],[Customer Gender]]="O","Other", TRUE,"Unknown")</f>
        <v>Male</v>
      </c>
    </row>
    <row r="1604" spans="1:15" x14ac:dyDescent="0.3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f t="array" ref="O1604">_xlfn.IFS(orders[[#This Row],[Customer Gender]]="M","Male", orders[[#This Row],[Customer Gender]]="F","Female", orders[[#This Row],[Customer Gender]]="O","Other", TRUE,"Unknown")</f>
        <v>Female</v>
      </c>
    </row>
    <row r="1605" spans="1:15" x14ac:dyDescent="0.3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f t="array" ref="O1605">_xlfn.IFS(orders[[#This Row],[Customer Gender]]="M","Male", orders[[#This Row],[Customer Gender]]="F","Female", orders[[#This Row],[Customer Gender]]="O","Other", TRUE,"Unknown")</f>
        <v>Male</v>
      </c>
    </row>
    <row r="1606" spans="1:15" x14ac:dyDescent="0.3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f t="array" ref="O1606">_xlfn.IFS(orders[[#This Row],[Customer Gender]]="M","Male", orders[[#This Row],[Customer Gender]]="F","Female", orders[[#This Row],[Customer Gender]]="O","Other", TRUE,"Unknown")</f>
        <v>Male</v>
      </c>
    </row>
    <row r="1607" spans="1:15" x14ac:dyDescent="0.3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f t="array" ref="O1607">_xlfn.IFS(orders[[#This Row],[Customer Gender]]="M","Male", orders[[#This Row],[Customer Gender]]="F","Female", orders[[#This Row],[Customer Gender]]="O","Other", TRUE,"Unknown")</f>
        <v>Male</v>
      </c>
    </row>
    <row r="1608" spans="1:15" x14ac:dyDescent="0.3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f t="array" ref="O1608">_xlfn.IFS(orders[[#This Row],[Customer Gender]]="M","Male", orders[[#This Row],[Customer Gender]]="F","Female", orders[[#This Row],[Customer Gender]]="O","Other", TRUE,"Unknown")</f>
        <v>Female</v>
      </c>
    </row>
    <row r="1609" spans="1:15" x14ac:dyDescent="0.3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f t="array" ref="O1609">_xlfn.IFS(orders[[#This Row],[Customer Gender]]="M","Male", orders[[#This Row],[Customer Gender]]="F","Female", orders[[#This Row],[Customer Gender]]="O","Other", TRUE,"Unknown")</f>
        <v>Female</v>
      </c>
    </row>
    <row r="1610" spans="1:15" x14ac:dyDescent="0.3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f t="array" ref="O1610">_xlfn.IFS(orders[[#This Row],[Customer Gender]]="M","Male", orders[[#This Row],[Customer Gender]]="F","Female", orders[[#This Row],[Customer Gender]]="O","Other", TRUE,"Unknown")</f>
        <v>Male</v>
      </c>
    </row>
    <row r="1611" spans="1:15" x14ac:dyDescent="0.3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f t="array" ref="O1611">_xlfn.IFS(orders[[#This Row],[Customer Gender]]="M","Male", orders[[#This Row],[Customer Gender]]="F","Female", orders[[#This Row],[Customer Gender]]="O","Other", TRUE,"Unknown")</f>
        <v>Male</v>
      </c>
    </row>
    <row r="1612" spans="1:15" x14ac:dyDescent="0.3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f t="array" ref="O1612">_xlfn.IFS(orders[[#This Row],[Customer Gender]]="M","Male", orders[[#This Row],[Customer Gender]]="F","Female", orders[[#This Row],[Customer Gender]]="O","Other", TRUE,"Unknown")</f>
        <v>Male</v>
      </c>
    </row>
    <row r="1613" spans="1:15" x14ac:dyDescent="0.3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f t="array" ref="O1613">_xlfn.IFS(orders[[#This Row],[Customer Gender]]="M","Male", orders[[#This Row],[Customer Gender]]="F","Female", orders[[#This Row],[Customer Gender]]="O","Other", TRUE,"Unknown")</f>
        <v>Male</v>
      </c>
    </row>
    <row r="1614" spans="1:15" x14ac:dyDescent="0.3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f t="array" ref="O1614">_xlfn.IFS(orders[[#This Row],[Customer Gender]]="M","Male", orders[[#This Row],[Customer Gender]]="F","Female", orders[[#This Row],[Customer Gender]]="O","Other", TRUE,"Unknown")</f>
        <v>Female</v>
      </c>
    </row>
    <row r="1615" spans="1:15" x14ac:dyDescent="0.3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f t="array" ref="O1615">_xlfn.IFS(orders[[#This Row],[Customer Gender]]="M","Male", orders[[#This Row],[Customer Gender]]="F","Female", orders[[#This Row],[Customer Gender]]="O","Other", TRUE,"Unknown")</f>
        <v>Female</v>
      </c>
    </row>
    <row r="1616" spans="1:15" x14ac:dyDescent="0.3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f t="array" ref="O1616">_xlfn.IFS(orders[[#This Row],[Customer Gender]]="M","Male", orders[[#This Row],[Customer Gender]]="F","Female", orders[[#This Row],[Customer Gender]]="O","Other", TRUE,"Unknown")</f>
        <v>Female</v>
      </c>
    </row>
    <row r="1617" spans="1:15" x14ac:dyDescent="0.3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f t="array" ref="O1617">_xlfn.IFS(orders[[#This Row],[Customer Gender]]="M","Male", orders[[#This Row],[Customer Gender]]="F","Female", orders[[#This Row],[Customer Gender]]="O","Other", TRUE,"Unknown")</f>
        <v>Female</v>
      </c>
    </row>
    <row r="1618" spans="1:15" x14ac:dyDescent="0.3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f t="array" ref="O1618">_xlfn.IFS(orders[[#This Row],[Customer Gender]]="M","Male", orders[[#This Row],[Customer Gender]]="F","Female", orders[[#This Row],[Customer Gender]]="O","Other", TRUE,"Unknown")</f>
        <v>Female</v>
      </c>
    </row>
    <row r="1619" spans="1:15" x14ac:dyDescent="0.3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f t="array" ref="O1619">_xlfn.IFS(orders[[#This Row],[Customer Gender]]="M","Male", orders[[#This Row],[Customer Gender]]="F","Female", orders[[#This Row],[Customer Gender]]="O","Other", TRUE,"Unknown")</f>
        <v>Other</v>
      </c>
    </row>
    <row r="1620" spans="1:15" x14ac:dyDescent="0.3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f t="array" ref="O1620">_xlfn.IFS(orders[[#This Row],[Customer Gender]]="M","Male", orders[[#This Row],[Customer Gender]]="F","Female", orders[[#This Row],[Customer Gender]]="O","Other", TRUE,"Unknown")</f>
        <v>Male</v>
      </c>
    </row>
    <row r="1621" spans="1:15" x14ac:dyDescent="0.3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f t="array" ref="O1621">_xlfn.IFS(orders[[#This Row],[Customer Gender]]="M","Male", orders[[#This Row],[Customer Gender]]="F","Female", orders[[#This Row],[Customer Gender]]="O","Other", TRUE,"Unknown")</f>
        <v>Female</v>
      </c>
    </row>
    <row r="1622" spans="1:15" x14ac:dyDescent="0.3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f t="array" ref="O1622">_xlfn.IFS(orders[[#This Row],[Customer Gender]]="M","Male", orders[[#This Row],[Customer Gender]]="F","Female", orders[[#This Row],[Customer Gender]]="O","Other", TRUE,"Unknown")</f>
        <v>Male</v>
      </c>
    </row>
    <row r="1623" spans="1:15" x14ac:dyDescent="0.3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f t="array" ref="O1623">_xlfn.IFS(orders[[#This Row],[Customer Gender]]="M","Male", orders[[#This Row],[Customer Gender]]="F","Female", orders[[#This Row],[Customer Gender]]="O","Other", TRUE,"Unknown")</f>
        <v>Male</v>
      </c>
    </row>
    <row r="1624" spans="1:15" x14ac:dyDescent="0.3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f t="array" ref="O1624">_xlfn.IFS(orders[[#This Row],[Customer Gender]]="M","Male", orders[[#This Row],[Customer Gender]]="F","Female", orders[[#This Row],[Customer Gender]]="O","Other", TRUE,"Unknown")</f>
        <v>Female</v>
      </c>
    </row>
    <row r="1625" spans="1:15" x14ac:dyDescent="0.3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f t="array" ref="O1625">_xlfn.IFS(orders[[#This Row],[Customer Gender]]="M","Male", orders[[#This Row],[Customer Gender]]="F","Female", orders[[#This Row],[Customer Gender]]="O","Other", TRUE,"Unknown")</f>
        <v>Other</v>
      </c>
    </row>
    <row r="1626" spans="1:15" x14ac:dyDescent="0.3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f t="array" ref="O1626">_xlfn.IFS(orders[[#This Row],[Customer Gender]]="M","Male", orders[[#This Row],[Customer Gender]]="F","Female", orders[[#This Row],[Customer Gender]]="O","Other", TRUE,"Unknown")</f>
        <v>Other</v>
      </c>
    </row>
    <row r="1627" spans="1:15" x14ac:dyDescent="0.3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f t="array" ref="O1627">_xlfn.IFS(orders[[#This Row],[Customer Gender]]="M","Male", orders[[#This Row],[Customer Gender]]="F","Female", orders[[#This Row],[Customer Gender]]="O","Other", TRUE,"Unknown")</f>
        <v>Female</v>
      </c>
    </row>
    <row r="1628" spans="1:15" x14ac:dyDescent="0.3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f t="array" ref="O1628">_xlfn.IFS(orders[[#This Row],[Customer Gender]]="M","Male", orders[[#This Row],[Customer Gender]]="F","Female", orders[[#This Row],[Customer Gender]]="O","Other", TRUE,"Unknown")</f>
        <v>Female</v>
      </c>
    </row>
    <row r="1629" spans="1:15" x14ac:dyDescent="0.3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f t="array" ref="O1629">_xlfn.IFS(orders[[#This Row],[Customer Gender]]="M","Male", orders[[#This Row],[Customer Gender]]="F","Female", orders[[#This Row],[Customer Gender]]="O","Other", TRUE,"Unknown")</f>
        <v>Male</v>
      </c>
    </row>
    <row r="1630" spans="1:15" x14ac:dyDescent="0.3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f t="array" ref="O1630">_xlfn.IFS(orders[[#This Row],[Customer Gender]]="M","Male", orders[[#This Row],[Customer Gender]]="F","Female", orders[[#This Row],[Customer Gender]]="O","Other", TRUE,"Unknown")</f>
        <v>Male</v>
      </c>
    </row>
    <row r="1631" spans="1:15" x14ac:dyDescent="0.3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f t="array" ref="O1631">_xlfn.IFS(orders[[#This Row],[Customer Gender]]="M","Male", orders[[#This Row],[Customer Gender]]="F","Female", orders[[#This Row],[Customer Gender]]="O","Other", TRUE,"Unknown")</f>
        <v>Female</v>
      </c>
    </row>
    <row r="1632" spans="1:15" x14ac:dyDescent="0.3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f t="array" ref="O1632">_xlfn.IFS(orders[[#This Row],[Customer Gender]]="M","Male", orders[[#This Row],[Customer Gender]]="F","Female", orders[[#This Row],[Customer Gender]]="O","Other", TRUE,"Unknown")</f>
        <v>Female</v>
      </c>
    </row>
    <row r="1633" spans="1:15" x14ac:dyDescent="0.3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f t="array" ref="O1633">_xlfn.IFS(orders[[#This Row],[Customer Gender]]="M","Male", orders[[#This Row],[Customer Gender]]="F","Female", orders[[#This Row],[Customer Gender]]="O","Other", TRUE,"Unknown")</f>
        <v>Female</v>
      </c>
    </row>
    <row r="1634" spans="1:15" x14ac:dyDescent="0.3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f t="array" ref="O1634">_xlfn.IFS(orders[[#This Row],[Customer Gender]]="M","Male", orders[[#This Row],[Customer Gender]]="F","Female", orders[[#This Row],[Customer Gender]]="O","Other", TRUE,"Unknown")</f>
        <v>Female</v>
      </c>
    </row>
    <row r="1635" spans="1:15" x14ac:dyDescent="0.3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f t="array" ref="O1635">_xlfn.IFS(orders[[#This Row],[Customer Gender]]="M","Male", orders[[#This Row],[Customer Gender]]="F","Female", orders[[#This Row],[Customer Gender]]="O","Other", TRUE,"Unknown")</f>
        <v>Unknown</v>
      </c>
    </row>
    <row r="1636" spans="1:15" x14ac:dyDescent="0.3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f t="array" ref="O1636">_xlfn.IFS(orders[[#This Row],[Customer Gender]]="M","Male", orders[[#This Row],[Customer Gender]]="F","Female", orders[[#This Row],[Customer Gender]]="O","Other", TRUE,"Unknown")</f>
        <v>Male</v>
      </c>
    </row>
    <row r="1637" spans="1:15" x14ac:dyDescent="0.3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f t="array" ref="O1637">_xlfn.IFS(orders[[#This Row],[Customer Gender]]="M","Male", orders[[#This Row],[Customer Gender]]="F","Female", orders[[#This Row],[Customer Gender]]="O","Other", TRUE,"Unknown")</f>
        <v>Male</v>
      </c>
    </row>
    <row r="1638" spans="1:15" x14ac:dyDescent="0.3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f t="array" ref="O1638">_xlfn.IFS(orders[[#This Row],[Customer Gender]]="M","Male", orders[[#This Row],[Customer Gender]]="F","Female", orders[[#This Row],[Customer Gender]]="O","Other", TRUE,"Unknown")</f>
        <v>Male</v>
      </c>
    </row>
    <row r="1639" spans="1:15" x14ac:dyDescent="0.3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f t="array" ref="O1639">_xlfn.IFS(orders[[#This Row],[Customer Gender]]="M","Male", orders[[#This Row],[Customer Gender]]="F","Female", orders[[#This Row],[Customer Gender]]="O","Other", TRUE,"Unknown")</f>
        <v>Other</v>
      </c>
    </row>
    <row r="1640" spans="1:15" x14ac:dyDescent="0.3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f t="array" ref="O1640">_xlfn.IFS(orders[[#This Row],[Customer Gender]]="M","Male", orders[[#This Row],[Customer Gender]]="F","Female", orders[[#This Row],[Customer Gender]]="O","Other", TRUE,"Unknown")</f>
        <v>Male</v>
      </c>
    </row>
    <row r="1641" spans="1:15" x14ac:dyDescent="0.3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f t="array" ref="O1641">_xlfn.IFS(orders[[#This Row],[Customer Gender]]="M","Male", orders[[#This Row],[Customer Gender]]="F","Female", orders[[#This Row],[Customer Gender]]="O","Other", TRUE,"Unknown")</f>
        <v>Male</v>
      </c>
    </row>
    <row r="1642" spans="1:15" x14ac:dyDescent="0.3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f t="array" ref="O1642">_xlfn.IFS(orders[[#This Row],[Customer Gender]]="M","Male", orders[[#This Row],[Customer Gender]]="F","Female", orders[[#This Row],[Customer Gender]]="O","Other", TRUE,"Unknown")</f>
        <v>Male</v>
      </c>
    </row>
    <row r="1643" spans="1:15" x14ac:dyDescent="0.3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f t="array" ref="O1643">_xlfn.IFS(orders[[#This Row],[Customer Gender]]="M","Male", orders[[#This Row],[Customer Gender]]="F","Female", orders[[#This Row],[Customer Gender]]="O","Other", TRUE,"Unknown")</f>
        <v>Female</v>
      </c>
    </row>
    <row r="1644" spans="1:15" x14ac:dyDescent="0.3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f t="array" ref="O1644">_xlfn.IFS(orders[[#This Row],[Customer Gender]]="M","Male", orders[[#This Row],[Customer Gender]]="F","Female", orders[[#This Row],[Customer Gender]]="O","Other", TRUE,"Unknown")</f>
        <v>Male</v>
      </c>
    </row>
    <row r="1645" spans="1:15" x14ac:dyDescent="0.3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f t="array" ref="O1645">_xlfn.IFS(orders[[#This Row],[Customer Gender]]="M","Male", orders[[#This Row],[Customer Gender]]="F","Female", orders[[#This Row],[Customer Gender]]="O","Other", TRUE,"Unknown")</f>
        <v>Male</v>
      </c>
    </row>
    <row r="1646" spans="1:15" x14ac:dyDescent="0.3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f t="array" ref="O1646">_xlfn.IFS(orders[[#This Row],[Customer Gender]]="M","Male", orders[[#This Row],[Customer Gender]]="F","Female", orders[[#This Row],[Customer Gender]]="O","Other", TRUE,"Unknown")</f>
        <v>Male</v>
      </c>
    </row>
    <row r="1647" spans="1:15" x14ac:dyDescent="0.3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f t="array" ref="O1647">_xlfn.IFS(orders[[#This Row],[Customer Gender]]="M","Male", orders[[#This Row],[Customer Gender]]="F","Female", orders[[#This Row],[Customer Gender]]="O","Other", TRUE,"Unknown")</f>
        <v>Male</v>
      </c>
    </row>
    <row r="1648" spans="1:15" x14ac:dyDescent="0.3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f t="array" ref="O1648">_xlfn.IFS(orders[[#This Row],[Customer Gender]]="M","Male", orders[[#This Row],[Customer Gender]]="F","Female", orders[[#This Row],[Customer Gender]]="O","Other", TRUE,"Unknown")</f>
        <v>Male</v>
      </c>
    </row>
    <row r="1649" spans="1:15" x14ac:dyDescent="0.3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f t="array" ref="O1649">_xlfn.IFS(orders[[#This Row],[Customer Gender]]="M","Male", orders[[#This Row],[Customer Gender]]="F","Female", orders[[#This Row],[Customer Gender]]="O","Other", TRUE,"Unknown")</f>
        <v>Male</v>
      </c>
    </row>
    <row r="1650" spans="1:15" x14ac:dyDescent="0.3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f t="array" ref="O1650">_xlfn.IFS(orders[[#This Row],[Customer Gender]]="M","Male", orders[[#This Row],[Customer Gender]]="F","Female", orders[[#This Row],[Customer Gender]]="O","Other", TRUE,"Unknown")</f>
        <v>Female</v>
      </c>
    </row>
    <row r="1651" spans="1:15" x14ac:dyDescent="0.3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f t="array" ref="O1651">_xlfn.IFS(orders[[#This Row],[Customer Gender]]="M","Male", orders[[#This Row],[Customer Gender]]="F","Female", orders[[#This Row],[Customer Gender]]="O","Other", TRUE,"Unknown")</f>
        <v>Female</v>
      </c>
    </row>
    <row r="1652" spans="1:15" x14ac:dyDescent="0.3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f t="array" ref="O1652">_xlfn.IFS(orders[[#This Row],[Customer Gender]]="M","Male", orders[[#This Row],[Customer Gender]]="F","Female", orders[[#This Row],[Customer Gender]]="O","Other", TRUE,"Unknown")</f>
        <v>Female</v>
      </c>
    </row>
    <row r="1653" spans="1:15" x14ac:dyDescent="0.3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f t="array" ref="O1653">_xlfn.IFS(orders[[#This Row],[Customer Gender]]="M","Male", orders[[#This Row],[Customer Gender]]="F","Female", orders[[#This Row],[Customer Gender]]="O","Other", TRUE,"Unknown")</f>
        <v>Female</v>
      </c>
    </row>
    <row r="1654" spans="1:15" x14ac:dyDescent="0.3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f t="array" ref="O1654">_xlfn.IFS(orders[[#This Row],[Customer Gender]]="M","Male", orders[[#This Row],[Customer Gender]]="F","Female", orders[[#This Row],[Customer Gender]]="O","Other", TRUE,"Unknown")</f>
        <v>Male</v>
      </c>
    </row>
    <row r="1655" spans="1:15" x14ac:dyDescent="0.3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f t="array" ref="O1655">_xlfn.IFS(orders[[#This Row],[Customer Gender]]="M","Male", orders[[#This Row],[Customer Gender]]="F","Female", orders[[#This Row],[Customer Gender]]="O","Other", TRUE,"Unknown")</f>
        <v>Female</v>
      </c>
    </row>
    <row r="1656" spans="1:15" x14ac:dyDescent="0.3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f t="array" ref="O1656">_xlfn.IFS(orders[[#This Row],[Customer Gender]]="M","Male", orders[[#This Row],[Customer Gender]]="F","Female", orders[[#This Row],[Customer Gender]]="O","Other", TRUE,"Unknown")</f>
        <v>Male</v>
      </c>
    </row>
    <row r="1657" spans="1:15" x14ac:dyDescent="0.3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f t="array" ref="O1657">_xlfn.IFS(orders[[#This Row],[Customer Gender]]="M","Male", orders[[#This Row],[Customer Gender]]="F","Female", orders[[#This Row],[Customer Gender]]="O","Other", TRUE,"Unknown")</f>
        <v>Female</v>
      </c>
    </row>
    <row r="1658" spans="1:15" x14ac:dyDescent="0.3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f t="array" ref="O1658">_xlfn.IFS(orders[[#This Row],[Customer Gender]]="M","Male", orders[[#This Row],[Customer Gender]]="F","Female", orders[[#This Row],[Customer Gender]]="O","Other", TRUE,"Unknown")</f>
        <v>Male</v>
      </c>
    </row>
    <row r="1659" spans="1:15" x14ac:dyDescent="0.3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f t="array" ref="O1659">_xlfn.IFS(orders[[#This Row],[Customer Gender]]="M","Male", orders[[#This Row],[Customer Gender]]="F","Female", orders[[#This Row],[Customer Gender]]="O","Other", TRUE,"Unknown")</f>
        <v>Female</v>
      </c>
    </row>
    <row r="1660" spans="1:15" x14ac:dyDescent="0.3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f t="array" ref="O1660">_xlfn.IFS(orders[[#This Row],[Customer Gender]]="M","Male", orders[[#This Row],[Customer Gender]]="F","Female", orders[[#This Row],[Customer Gender]]="O","Other", TRUE,"Unknown")</f>
        <v>Male</v>
      </c>
    </row>
    <row r="1661" spans="1:15" x14ac:dyDescent="0.3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f t="array" ref="O1661">_xlfn.IFS(orders[[#This Row],[Customer Gender]]="M","Male", orders[[#This Row],[Customer Gender]]="F","Female", orders[[#This Row],[Customer Gender]]="O","Other", TRUE,"Unknown")</f>
        <v>Female</v>
      </c>
    </row>
    <row r="1662" spans="1:15" x14ac:dyDescent="0.3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f t="array" ref="O1662">_xlfn.IFS(orders[[#This Row],[Customer Gender]]="M","Male", orders[[#This Row],[Customer Gender]]="F","Female", orders[[#This Row],[Customer Gender]]="O","Other", TRUE,"Unknown")</f>
        <v>Female</v>
      </c>
    </row>
    <row r="1663" spans="1:15" x14ac:dyDescent="0.3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f t="array" ref="O1663">_xlfn.IFS(orders[[#This Row],[Customer Gender]]="M","Male", orders[[#This Row],[Customer Gender]]="F","Female", orders[[#This Row],[Customer Gender]]="O","Other", TRUE,"Unknown")</f>
        <v>Male</v>
      </c>
    </row>
    <row r="1664" spans="1:15" x14ac:dyDescent="0.3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f t="array" ref="O1664">_xlfn.IFS(orders[[#This Row],[Customer Gender]]="M","Male", orders[[#This Row],[Customer Gender]]="F","Female", orders[[#This Row],[Customer Gender]]="O","Other", TRUE,"Unknown")</f>
        <v>Male</v>
      </c>
    </row>
    <row r="1665" spans="1:15" x14ac:dyDescent="0.3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f t="array" ref="O1665">_xlfn.IFS(orders[[#This Row],[Customer Gender]]="M","Male", orders[[#This Row],[Customer Gender]]="F","Female", orders[[#This Row],[Customer Gender]]="O","Other", TRUE,"Unknown")</f>
        <v>Female</v>
      </c>
    </row>
    <row r="1666" spans="1:15" x14ac:dyDescent="0.3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f t="array" ref="O1666">_xlfn.IFS(orders[[#This Row],[Customer Gender]]="M","Male", orders[[#This Row],[Customer Gender]]="F","Female", orders[[#This Row],[Customer Gender]]="O","Other", TRUE,"Unknown")</f>
        <v>Female</v>
      </c>
    </row>
    <row r="1667" spans="1:15" x14ac:dyDescent="0.3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f t="array" ref="O1667">_xlfn.IFS(orders[[#This Row],[Customer Gender]]="M","Male", orders[[#This Row],[Customer Gender]]="F","Female", orders[[#This Row],[Customer Gender]]="O","Other", TRUE,"Unknown")</f>
        <v>Female</v>
      </c>
    </row>
    <row r="1668" spans="1:15" x14ac:dyDescent="0.3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f t="array" ref="O1668">_xlfn.IFS(orders[[#This Row],[Customer Gender]]="M","Male", orders[[#This Row],[Customer Gender]]="F","Female", orders[[#This Row],[Customer Gender]]="O","Other", TRUE,"Unknown")</f>
        <v>Female</v>
      </c>
    </row>
    <row r="1669" spans="1:15" x14ac:dyDescent="0.3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f t="array" ref="O1669">_xlfn.IFS(orders[[#This Row],[Customer Gender]]="M","Male", orders[[#This Row],[Customer Gender]]="F","Female", orders[[#This Row],[Customer Gender]]="O","Other", TRUE,"Unknown")</f>
        <v>Female</v>
      </c>
    </row>
    <row r="1670" spans="1:15" x14ac:dyDescent="0.3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f t="array" ref="O1670">_xlfn.IFS(orders[[#This Row],[Customer Gender]]="M","Male", orders[[#This Row],[Customer Gender]]="F","Female", orders[[#This Row],[Customer Gender]]="O","Other", TRUE,"Unknown")</f>
        <v>Male</v>
      </c>
    </row>
    <row r="1671" spans="1:15" x14ac:dyDescent="0.3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f t="array" ref="O1671">_xlfn.IFS(orders[[#This Row],[Customer Gender]]="M","Male", orders[[#This Row],[Customer Gender]]="F","Female", orders[[#This Row],[Customer Gender]]="O","Other", TRUE,"Unknown")</f>
        <v>Male</v>
      </c>
    </row>
    <row r="1672" spans="1:15" x14ac:dyDescent="0.3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f t="array" ref="O1672">_xlfn.IFS(orders[[#This Row],[Customer Gender]]="M","Male", orders[[#This Row],[Customer Gender]]="F","Female", orders[[#This Row],[Customer Gender]]="O","Other", TRUE,"Unknown")</f>
        <v>Female</v>
      </c>
    </row>
    <row r="1673" spans="1:15" x14ac:dyDescent="0.3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f t="array" ref="O1673">_xlfn.IFS(orders[[#This Row],[Customer Gender]]="M","Male", orders[[#This Row],[Customer Gender]]="F","Female", orders[[#This Row],[Customer Gender]]="O","Other", TRUE,"Unknown")</f>
        <v>Male</v>
      </c>
    </row>
    <row r="1674" spans="1:15" x14ac:dyDescent="0.3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f t="array" ref="O1674">_xlfn.IFS(orders[[#This Row],[Customer Gender]]="M","Male", orders[[#This Row],[Customer Gender]]="F","Female", orders[[#This Row],[Customer Gender]]="O","Other", TRUE,"Unknown")</f>
        <v>Female</v>
      </c>
    </row>
    <row r="1675" spans="1:15" x14ac:dyDescent="0.3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f t="array" ref="O1675">_xlfn.IFS(orders[[#This Row],[Customer Gender]]="M","Male", orders[[#This Row],[Customer Gender]]="F","Female", orders[[#This Row],[Customer Gender]]="O","Other", TRUE,"Unknown")</f>
        <v>Female</v>
      </c>
    </row>
    <row r="1676" spans="1:15" x14ac:dyDescent="0.3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f t="array" ref="O1676">_xlfn.IFS(orders[[#This Row],[Customer Gender]]="M","Male", orders[[#This Row],[Customer Gender]]="F","Female", orders[[#This Row],[Customer Gender]]="O","Other", TRUE,"Unknown")</f>
        <v>Female</v>
      </c>
    </row>
    <row r="1677" spans="1:15" x14ac:dyDescent="0.3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f t="array" ref="O1677">_xlfn.IFS(orders[[#This Row],[Customer Gender]]="M","Male", orders[[#This Row],[Customer Gender]]="F","Female", orders[[#This Row],[Customer Gender]]="O","Other", TRUE,"Unknown")</f>
        <v>Female</v>
      </c>
    </row>
    <row r="1678" spans="1:15" x14ac:dyDescent="0.3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f t="array" ref="O1678">_xlfn.IFS(orders[[#This Row],[Customer Gender]]="M","Male", orders[[#This Row],[Customer Gender]]="F","Female", orders[[#This Row],[Customer Gender]]="O","Other", TRUE,"Unknown")</f>
        <v>Female</v>
      </c>
    </row>
    <row r="1679" spans="1:15" x14ac:dyDescent="0.3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f t="array" ref="O1679">_xlfn.IFS(orders[[#This Row],[Customer Gender]]="M","Male", orders[[#This Row],[Customer Gender]]="F","Female", orders[[#This Row],[Customer Gender]]="O","Other", TRUE,"Unknown")</f>
        <v>Other</v>
      </c>
    </row>
    <row r="1680" spans="1:15" x14ac:dyDescent="0.3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f t="array" ref="O1680">_xlfn.IFS(orders[[#This Row],[Customer Gender]]="M","Male", orders[[#This Row],[Customer Gender]]="F","Female", orders[[#This Row],[Customer Gender]]="O","Other", TRUE,"Unknown")</f>
        <v>Female</v>
      </c>
    </row>
    <row r="1681" spans="1:15" x14ac:dyDescent="0.3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f t="array" ref="O1681">_xlfn.IFS(orders[[#This Row],[Customer Gender]]="M","Male", orders[[#This Row],[Customer Gender]]="F","Female", orders[[#This Row],[Customer Gender]]="O","Other", TRUE,"Unknown")</f>
        <v>Female</v>
      </c>
    </row>
    <row r="1682" spans="1:15" x14ac:dyDescent="0.3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f t="array" ref="O1682">_xlfn.IFS(orders[[#This Row],[Customer Gender]]="M","Male", orders[[#This Row],[Customer Gender]]="F","Female", orders[[#This Row],[Customer Gender]]="O","Other", TRUE,"Unknown")</f>
        <v>Male</v>
      </c>
    </row>
    <row r="1683" spans="1:15" x14ac:dyDescent="0.3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f t="array" ref="O1683">_xlfn.IFS(orders[[#This Row],[Customer Gender]]="M","Male", orders[[#This Row],[Customer Gender]]="F","Female", orders[[#This Row],[Customer Gender]]="O","Other", TRUE,"Unknown")</f>
        <v>Female</v>
      </c>
    </row>
    <row r="1684" spans="1:15" x14ac:dyDescent="0.3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f t="array" ref="O1684">_xlfn.IFS(orders[[#This Row],[Customer Gender]]="M","Male", orders[[#This Row],[Customer Gender]]="F","Female", orders[[#This Row],[Customer Gender]]="O","Other", TRUE,"Unknown")</f>
        <v>Male</v>
      </c>
    </row>
    <row r="1685" spans="1:15" x14ac:dyDescent="0.3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f t="array" ref="O1685">_xlfn.IFS(orders[[#This Row],[Customer Gender]]="M","Male", orders[[#This Row],[Customer Gender]]="F","Female", orders[[#This Row],[Customer Gender]]="O","Other", TRUE,"Unknown")</f>
        <v>Female</v>
      </c>
    </row>
    <row r="1686" spans="1:15" x14ac:dyDescent="0.3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f t="array" ref="O1686">_xlfn.IFS(orders[[#This Row],[Customer Gender]]="M","Male", orders[[#This Row],[Customer Gender]]="F","Female", orders[[#This Row],[Customer Gender]]="O","Other", TRUE,"Unknown")</f>
        <v>Female</v>
      </c>
    </row>
    <row r="1687" spans="1:15" x14ac:dyDescent="0.3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f t="array" ref="O1687">_xlfn.IFS(orders[[#This Row],[Customer Gender]]="M","Male", orders[[#This Row],[Customer Gender]]="F","Female", orders[[#This Row],[Customer Gender]]="O","Other", TRUE,"Unknown")</f>
        <v>Unknown</v>
      </c>
    </row>
    <row r="1688" spans="1:15" x14ac:dyDescent="0.3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f t="array" ref="O1688">_xlfn.IFS(orders[[#This Row],[Customer Gender]]="M","Male", orders[[#This Row],[Customer Gender]]="F","Female", orders[[#This Row],[Customer Gender]]="O","Other", TRUE,"Unknown")</f>
        <v>Female</v>
      </c>
    </row>
    <row r="1689" spans="1:15" x14ac:dyDescent="0.3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f t="array" ref="O1689">_xlfn.IFS(orders[[#This Row],[Customer Gender]]="M","Male", orders[[#This Row],[Customer Gender]]="F","Female", orders[[#This Row],[Customer Gender]]="O","Other", TRUE,"Unknown")</f>
        <v>Female</v>
      </c>
    </row>
    <row r="1690" spans="1:15" x14ac:dyDescent="0.3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f t="array" ref="O1690">_xlfn.IFS(orders[[#This Row],[Customer Gender]]="M","Male", orders[[#This Row],[Customer Gender]]="F","Female", orders[[#This Row],[Customer Gender]]="O","Other", TRUE,"Unknown")</f>
        <v>Female</v>
      </c>
    </row>
    <row r="1691" spans="1:15" x14ac:dyDescent="0.3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f t="array" ref="O1691">_xlfn.IFS(orders[[#This Row],[Customer Gender]]="M","Male", orders[[#This Row],[Customer Gender]]="F","Female", orders[[#This Row],[Customer Gender]]="O","Other", TRUE,"Unknown")</f>
        <v>Female</v>
      </c>
    </row>
    <row r="1692" spans="1:15" x14ac:dyDescent="0.3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f t="array" ref="O1692">_xlfn.IFS(orders[[#This Row],[Customer Gender]]="M","Male", orders[[#This Row],[Customer Gender]]="F","Female", orders[[#This Row],[Customer Gender]]="O","Other", TRUE,"Unknown")</f>
        <v>Female</v>
      </c>
    </row>
    <row r="1693" spans="1:15" x14ac:dyDescent="0.3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f t="array" ref="O1693">_xlfn.IFS(orders[[#This Row],[Customer Gender]]="M","Male", orders[[#This Row],[Customer Gender]]="F","Female", orders[[#This Row],[Customer Gender]]="O","Other", TRUE,"Unknown")</f>
        <v>Female</v>
      </c>
    </row>
    <row r="1694" spans="1:15" x14ac:dyDescent="0.3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f t="array" ref="O1694">_xlfn.IFS(orders[[#This Row],[Customer Gender]]="M","Male", orders[[#This Row],[Customer Gender]]="F","Female", orders[[#This Row],[Customer Gender]]="O","Other", TRUE,"Unknown")</f>
        <v>Male</v>
      </c>
    </row>
    <row r="1695" spans="1:15" x14ac:dyDescent="0.3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f t="array" ref="O1695">_xlfn.IFS(orders[[#This Row],[Customer Gender]]="M","Male", orders[[#This Row],[Customer Gender]]="F","Female", orders[[#This Row],[Customer Gender]]="O","Other", TRUE,"Unknown")</f>
        <v>Female</v>
      </c>
    </row>
    <row r="1696" spans="1:15" x14ac:dyDescent="0.3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f t="array" ref="O1696">_xlfn.IFS(orders[[#This Row],[Customer Gender]]="M","Male", orders[[#This Row],[Customer Gender]]="F","Female", orders[[#This Row],[Customer Gender]]="O","Other", TRUE,"Unknown")</f>
        <v>Female</v>
      </c>
    </row>
    <row r="1697" spans="1:15" x14ac:dyDescent="0.3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f t="array" ref="O1697">_xlfn.IFS(orders[[#This Row],[Customer Gender]]="M","Male", orders[[#This Row],[Customer Gender]]="F","Female", orders[[#This Row],[Customer Gender]]="O","Other", TRUE,"Unknown")</f>
        <v>Male</v>
      </c>
    </row>
    <row r="1698" spans="1:15" x14ac:dyDescent="0.3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f t="array" ref="O1698">_xlfn.IFS(orders[[#This Row],[Customer Gender]]="M","Male", orders[[#This Row],[Customer Gender]]="F","Female", orders[[#This Row],[Customer Gender]]="O","Other", TRUE,"Unknown")</f>
        <v>Female</v>
      </c>
    </row>
    <row r="1699" spans="1:15" x14ac:dyDescent="0.3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f t="array" ref="O1699">_xlfn.IFS(orders[[#This Row],[Customer Gender]]="M","Male", orders[[#This Row],[Customer Gender]]="F","Female", orders[[#This Row],[Customer Gender]]="O","Other", TRUE,"Unknown")</f>
        <v>Male</v>
      </c>
    </row>
    <row r="1700" spans="1:15" x14ac:dyDescent="0.3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f t="array" ref="O1700">_xlfn.IFS(orders[[#This Row],[Customer Gender]]="M","Male", orders[[#This Row],[Customer Gender]]="F","Female", orders[[#This Row],[Customer Gender]]="O","Other", TRUE,"Unknown")</f>
        <v>Female</v>
      </c>
    </row>
    <row r="1701" spans="1:15" x14ac:dyDescent="0.3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f t="array" ref="O1701">_xlfn.IFS(orders[[#This Row],[Customer Gender]]="M","Male", orders[[#This Row],[Customer Gender]]="F","Female", orders[[#This Row],[Customer Gender]]="O","Other", TRUE,"Unknown")</f>
        <v>Female</v>
      </c>
    </row>
    <row r="1702" spans="1:15" x14ac:dyDescent="0.3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f t="array" ref="O1702">_xlfn.IFS(orders[[#This Row],[Customer Gender]]="M","Male", orders[[#This Row],[Customer Gender]]="F","Female", orders[[#This Row],[Customer Gender]]="O","Other", TRUE,"Unknown")</f>
        <v>Female</v>
      </c>
    </row>
    <row r="1703" spans="1:15" x14ac:dyDescent="0.3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f t="array" ref="O1703">_xlfn.IFS(orders[[#This Row],[Customer Gender]]="M","Male", orders[[#This Row],[Customer Gender]]="F","Female", orders[[#This Row],[Customer Gender]]="O","Other", TRUE,"Unknown")</f>
        <v>Male</v>
      </c>
    </row>
    <row r="1704" spans="1:15" x14ac:dyDescent="0.3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f t="array" ref="O1704">_xlfn.IFS(orders[[#This Row],[Customer Gender]]="M","Male", orders[[#This Row],[Customer Gender]]="F","Female", orders[[#This Row],[Customer Gender]]="O","Other", TRUE,"Unknown")</f>
        <v>Male</v>
      </c>
    </row>
    <row r="1705" spans="1:15" x14ac:dyDescent="0.3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f t="array" ref="O1705">_xlfn.IFS(orders[[#This Row],[Customer Gender]]="M","Male", orders[[#This Row],[Customer Gender]]="F","Female", orders[[#This Row],[Customer Gender]]="O","Other", TRUE,"Unknown")</f>
        <v>Female</v>
      </c>
    </row>
    <row r="1706" spans="1:15" x14ac:dyDescent="0.3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f t="array" ref="O1706">_xlfn.IFS(orders[[#This Row],[Customer Gender]]="M","Male", orders[[#This Row],[Customer Gender]]="F","Female", orders[[#This Row],[Customer Gender]]="O","Other", TRUE,"Unknown")</f>
        <v>Female</v>
      </c>
    </row>
    <row r="1707" spans="1:15" x14ac:dyDescent="0.3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f t="array" ref="O1707">_xlfn.IFS(orders[[#This Row],[Customer Gender]]="M","Male", orders[[#This Row],[Customer Gender]]="F","Female", orders[[#This Row],[Customer Gender]]="O","Other", TRUE,"Unknown")</f>
        <v>Female</v>
      </c>
    </row>
    <row r="1708" spans="1:15" x14ac:dyDescent="0.3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f t="array" ref="O1708">_xlfn.IFS(orders[[#This Row],[Customer Gender]]="M","Male", orders[[#This Row],[Customer Gender]]="F","Female", orders[[#This Row],[Customer Gender]]="O","Other", TRUE,"Unknown")</f>
        <v>Male</v>
      </c>
    </row>
    <row r="1709" spans="1:15" x14ac:dyDescent="0.3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f t="array" ref="O1709">_xlfn.IFS(orders[[#This Row],[Customer Gender]]="M","Male", orders[[#This Row],[Customer Gender]]="F","Female", orders[[#This Row],[Customer Gender]]="O","Other", TRUE,"Unknown")</f>
        <v>Female</v>
      </c>
    </row>
    <row r="1710" spans="1:15" x14ac:dyDescent="0.3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f t="array" ref="O1710">_xlfn.IFS(orders[[#This Row],[Customer Gender]]="M","Male", orders[[#This Row],[Customer Gender]]="F","Female", orders[[#This Row],[Customer Gender]]="O","Other", TRUE,"Unknown")</f>
        <v>Female</v>
      </c>
    </row>
    <row r="1711" spans="1:15" x14ac:dyDescent="0.3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f t="array" ref="O1711">_xlfn.IFS(orders[[#This Row],[Customer Gender]]="M","Male", orders[[#This Row],[Customer Gender]]="F","Female", orders[[#This Row],[Customer Gender]]="O","Other", TRUE,"Unknown")</f>
        <v>Female</v>
      </c>
    </row>
    <row r="1712" spans="1:15" x14ac:dyDescent="0.3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f t="array" ref="O1712">_xlfn.IFS(orders[[#This Row],[Customer Gender]]="M","Male", orders[[#This Row],[Customer Gender]]="F","Female", orders[[#This Row],[Customer Gender]]="O","Other", TRUE,"Unknown")</f>
        <v>Male</v>
      </c>
    </row>
    <row r="1713" spans="1:15" x14ac:dyDescent="0.3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f t="array" ref="O1713">_xlfn.IFS(orders[[#This Row],[Customer Gender]]="M","Male", orders[[#This Row],[Customer Gender]]="F","Female", orders[[#This Row],[Customer Gender]]="O","Other", TRUE,"Unknown")</f>
        <v>Male</v>
      </c>
    </row>
    <row r="1714" spans="1:15" x14ac:dyDescent="0.3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f t="array" ref="O1714">_xlfn.IFS(orders[[#This Row],[Customer Gender]]="M","Male", orders[[#This Row],[Customer Gender]]="F","Female", orders[[#This Row],[Customer Gender]]="O","Other", TRUE,"Unknown")</f>
        <v>Female</v>
      </c>
    </row>
    <row r="1715" spans="1:15" x14ac:dyDescent="0.3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f t="array" ref="O1715">_xlfn.IFS(orders[[#This Row],[Customer Gender]]="M","Male", orders[[#This Row],[Customer Gender]]="F","Female", orders[[#This Row],[Customer Gender]]="O","Other", TRUE,"Unknown")</f>
        <v>Male</v>
      </c>
    </row>
    <row r="1716" spans="1:15" x14ac:dyDescent="0.3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f t="array" ref="O1716">_xlfn.IFS(orders[[#This Row],[Customer Gender]]="M","Male", orders[[#This Row],[Customer Gender]]="F","Female", orders[[#This Row],[Customer Gender]]="O","Other", TRUE,"Unknown")</f>
        <v>Female</v>
      </c>
    </row>
    <row r="1717" spans="1:15" x14ac:dyDescent="0.3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f t="array" ref="O1717">_xlfn.IFS(orders[[#This Row],[Customer Gender]]="M","Male", orders[[#This Row],[Customer Gender]]="F","Female", orders[[#This Row],[Customer Gender]]="O","Other", TRUE,"Unknown")</f>
        <v>Male</v>
      </c>
    </row>
    <row r="1718" spans="1:15" x14ac:dyDescent="0.3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f t="array" ref="O1718">_xlfn.IFS(orders[[#This Row],[Customer Gender]]="M","Male", orders[[#This Row],[Customer Gender]]="F","Female", orders[[#This Row],[Customer Gender]]="O","Other", TRUE,"Unknown")</f>
        <v>Female</v>
      </c>
    </row>
    <row r="1719" spans="1:15" x14ac:dyDescent="0.3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f t="array" ref="O1719">_xlfn.IFS(orders[[#This Row],[Customer Gender]]="M","Male", orders[[#This Row],[Customer Gender]]="F","Female", orders[[#This Row],[Customer Gender]]="O","Other", TRUE,"Unknown")</f>
        <v>Female</v>
      </c>
    </row>
    <row r="1720" spans="1:15" x14ac:dyDescent="0.3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f t="array" ref="O1720">_xlfn.IFS(orders[[#This Row],[Customer Gender]]="M","Male", orders[[#This Row],[Customer Gender]]="F","Female", orders[[#This Row],[Customer Gender]]="O","Other", TRUE,"Unknown")</f>
        <v>Female</v>
      </c>
    </row>
    <row r="1721" spans="1:15" x14ac:dyDescent="0.3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f t="array" ref="O1721">_xlfn.IFS(orders[[#This Row],[Customer Gender]]="M","Male", orders[[#This Row],[Customer Gender]]="F","Female", orders[[#This Row],[Customer Gender]]="O","Other", TRUE,"Unknown")</f>
        <v>Female</v>
      </c>
    </row>
    <row r="1722" spans="1:15" x14ac:dyDescent="0.3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f t="array" ref="O1722">_xlfn.IFS(orders[[#This Row],[Customer Gender]]="M","Male", orders[[#This Row],[Customer Gender]]="F","Female", orders[[#This Row],[Customer Gender]]="O","Other", TRUE,"Unknown")</f>
        <v>Female</v>
      </c>
    </row>
    <row r="1723" spans="1:15" x14ac:dyDescent="0.3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f t="array" ref="O1723">_xlfn.IFS(orders[[#This Row],[Customer Gender]]="M","Male", orders[[#This Row],[Customer Gender]]="F","Female", orders[[#This Row],[Customer Gender]]="O","Other", TRUE,"Unknown")</f>
        <v>Male</v>
      </c>
    </row>
    <row r="1724" spans="1:15" x14ac:dyDescent="0.3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f t="array" ref="O1724">_xlfn.IFS(orders[[#This Row],[Customer Gender]]="M","Male", orders[[#This Row],[Customer Gender]]="F","Female", orders[[#This Row],[Customer Gender]]="O","Other", TRUE,"Unknown")</f>
        <v>Female</v>
      </c>
    </row>
    <row r="1725" spans="1:15" x14ac:dyDescent="0.3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f t="array" ref="O1725">_xlfn.IFS(orders[[#This Row],[Customer Gender]]="M","Male", orders[[#This Row],[Customer Gender]]="F","Female", orders[[#This Row],[Customer Gender]]="O","Other", TRUE,"Unknown")</f>
        <v>Male</v>
      </c>
    </row>
    <row r="1726" spans="1:15" x14ac:dyDescent="0.3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f t="array" ref="O1726">_xlfn.IFS(orders[[#This Row],[Customer Gender]]="M","Male", orders[[#This Row],[Customer Gender]]="F","Female", orders[[#This Row],[Customer Gender]]="O","Other", TRUE,"Unknown")</f>
        <v>Female</v>
      </c>
    </row>
    <row r="1727" spans="1:15" x14ac:dyDescent="0.3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f t="array" ref="O1727">_xlfn.IFS(orders[[#This Row],[Customer Gender]]="M","Male", orders[[#This Row],[Customer Gender]]="F","Female", orders[[#This Row],[Customer Gender]]="O","Other", TRUE,"Unknown")</f>
        <v>Other</v>
      </c>
    </row>
    <row r="1728" spans="1:15" x14ac:dyDescent="0.3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f t="array" ref="O1728">_xlfn.IFS(orders[[#This Row],[Customer Gender]]="M","Male", orders[[#This Row],[Customer Gender]]="F","Female", orders[[#This Row],[Customer Gender]]="O","Other", TRUE,"Unknown")</f>
        <v>Male</v>
      </c>
    </row>
    <row r="1729" spans="1:15" x14ac:dyDescent="0.3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f t="array" ref="O1729">_xlfn.IFS(orders[[#This Row],[Customer Gender]]="M","Male", orders[[#This Row],[Customer Gender]]="F","Female", orders[[#This Row],[Customer Gender]]="O","Other", TRUE,"Unknown")</f>
        <v>Female</v>
      </c>
    </row>
    <row r="1730" spans="1:15" x14ac:dyDescent="0.3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f t="array" ref="O1730">_xlfn.IFS(orders[[#This Row],[Customer Gender]]="M","Male", orders[[#This Row],[Customer Gender]]="F","Female", orders[[#This Row],[Customer Gender]]="O","Other", TRUE,"Unknown")</f>
        <v>Unknown</v>
      </c>
    </row>
    <row r="1731" spans="1:15" x14ac:dyDescent="0.3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f t="array" ref="O1731">_xlfn.IFS(orders[[#This Row],[Customer Gender]]="M","Male", orders[[#This Row],[Customer Gender]]="F","Female", orders[[#This Row],[Customer Gender]]="O","Other", TRUE,"Unknown")</f>
        <v>Male</v>
      </c>
    </row>
    <row r="1732" spans="1:15" x14ac:dyDescent="0.3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f t="array" ref="O1732">_xlfn.IFS(orders[[#This Row],[Customer Gender]]="M","Male", orders[[#This Row],[Customer Gender]]="F","Female", orders[[#This Row],[Customer Gender]]="O","Other", TRUE,"Unknown")</f>
        <v>Female</v>
      </c>
    </row>
    <row r="1733" spans="1:15" x14ac:dyDescent="0.3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f t="array" ref="O1733">_xlfn.IFS(orders[[#This Row],[Customer Gender]]="M","Male", orders[[#This Row],[Customer Gender]]="F","Female", orders[[#This Row],[Customer Gender]]="O","Other", TRUE,"Unknown")</f>
        <v>Female</v>
      </c>
    </row>
    <row r="1734" spans="1:15" x14ac:dyDescent="0.3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f t="array" ref="O1734">_xlfn.IFS(orders[[#This Row],[Customer Gender]]="M","Male", orders[[#This Row],[Customer Gender]]="F","Female", orders[[#This Row],[Customer Gender]]="O","Other", TRUE,"Unknown")</f>
        <v>Female</v>
      </c>
    </row>
    <row r="1735" spans="1:15" x14ac:dyDescent="0.3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f t="array" ref="O1735">_xlfn.IFS(orders[[#This Row],[Customer Gender]]="M","Male", orders[[#This Row],[Customer Gender]]="F","Female", orders[[#This Row],[Customer Gender]]="O","Other", TRUE,"Unknown")</f>
        <v>Male</v>
      </c>
    </row>
    <row r="1736" spans="1:15" x14ac:dyDescent="0.3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f t="array" ref="O1736">_xlfn.IFS(orders[[#This Row],[Customer Gender]]="M","Male", orders[[#This Row],[Customer Gender]]="F","Female", orders[[#This Row],[Customer Gender]]="O","Other", TRUE,"Unknown")</f>
        <v>Male</v>
      </c>
    </row>
    <row r="1737" spans="1:15" x14ac:dyDescent="0.3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f t="array" ref="O1737">_xlfn.IFS(orders[[#This Row],[Customer Gender]]="M","Male", orders[[#This Row],[Customer Gender]]="F","Female", orders[[#This Row],[Customer Gender]]="O","Other", TRUE,"Unknown")</f>
        <v>Male</v>
      </c>
    </row>
    <row r="1738" spans="1:15" x14ac:dyDescent="0.3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f t="array" ref="O1738">_xlfn.IFS(orders[[#This Row],[Customer Gender]]="M","Male", orders[[#This Row],[Customer Gender]]="F","Female", orders[[#This Row],[Customer Gender]]="O","Other", TRUE,"Unknown")</f>
        <v>Female</v>
      </c>
    </row>
    <row r="1739" spans="1:15" x14ac:dyDescent="0.3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f t="array" ref="O1739">_xlfn.IFS(orders[[#This Row],[Customer Gender]]="M","Male", orders[[#This Row],[Customer Gender]]="F","Female", orders[[#This Row],[Customer Gender]]="O","Other", TRUE,"Unknown")</f>
        <v>Female</v>
      </c>
    </row>
    <row r="1740" spans="1:15" x14ac:dyDescent="0.3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f t="array" ref="O1740">_xlfn.IFS(orders[[#This Row],[Customer Gender]]="M","Male", orders[[#This Row],[Customer Gender]]="F","Female", orders[[#This Row],[Customer Gender]]="O","Other", TRUE,"Unknown")</f>
        <v>Other</v>
      </c>
    </row>
    <row r="1741" spans="1:15" x14ac:dyDescent="0.3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f t="array" ref="O1741">_xlfn.IFS(orders[[#This Row],[Customer Gender]]="M","Male", orders[[#This Row],[Customer Gender]]="F","Female", orders[[#This Row],[Customer Gender]]="O","Other", TRUE,"Unknown")</f>
        <v>Female</v>
      </c>
    </row>
    <row r="1742" spans="1:15" x14ac:dyDescent="0.3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f t="array" ref="O1742">_xlfn.IFS(orders[[#This Row],[Customer Gender]]="M","Male", orders[[#This Row],[Customer Gender]]="F","Female", orders[[#This Row],[Customer Gender]]="O","Other", TRUE,"Unknown")</f>
        <v>Male</v>
      </c>
    </row>
    <row r="1743" spans="1:15" x14ac:dyDescent="0.3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f t="array" ref="O1743">_xlfn.IFS(orders[[#This Row],[Customer Gender]]="M","Male", orders[[#This Row],[Customer Gender]]="F","Female", orders[[#This Row],[Customer Gender]]="O","Other", TRUE,"Unknown")</f>
        <v>Female</v>
      </c>
    </row>
    <row r="1744" spans="1:15" x14ac:dyDescent="0.3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f t="array" ref="O1744">_xlfn.IFS(orders[[#This Row],[Customer Gender]]="M","Male", orders[[#This Row],[Customer Gender]]="F","Female", orders[[#This Row],[Customer Gender]]="O","Other", TRUE,"Unknown")</f>
        <v>Male</v>
      </c>
    </row>
    <row r="1745" spans="1:15" x14ac:dyDescent="0.3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f t="array" ref="O1745">_xlfn.IFS(orders[[#This Row],[Customer Gender]]="M","Male", orders[[#This Row],[Customer Gender]]="F","Female", orders[[#This Row],[Customer Gender]]="O","Other", TRUE,"Unknown")</f>
        <v>Other</v>
      </c>
    </row>
    <row r="1746" spans="1:15" x14ac:dyDescent="0.3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f t="array" ref="O1746">_xlfn.IFS(orders[[#This Row],[Customer Gender]]="M","Male", orders[[#This Row],[Customer Gender]]="F","Female", orders[[#This Row],[Customer Gender]]="O","Other", TRUE,"Unknown")</f>
        <v>Male</v>
      </c>
    </row>
    <row r="1747" spans="1:15" x14ac:dyDescent="0.3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f t="array" ref="O1747">_xlfn.IFS(orders[[#This Row],[Customer Gender]]="M","Male", orders[[#This Row],[Customer Gender]]="F","Female", orders[[#This Row],[Customer Gender]]="O","Other", TRUE,"Unknown")</f>
        <v>Female</v>
      </c>
    </row>
    <row r="1748" spans="1:15" x14ac:dyDescent="0.3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f t="array" ref="O1748">_xlfn.IFS(orders[[#This Row],[Customer Gender]]="M","Male", orders[[#This Row],[Customer Gender]]="F","Female", orders[[#This Row],[Customer Gender]]="O","Other", TRUE,"Unknown")</f>
        <v>Female</v>
      </c>
    </row>
    <row r="1749" spans="1:15" x14ac:dyDescent="0.3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f t="array" ref="O1749">_xlfn.IFS(orders[[#This Row],[Customer Gender]]="M","Male", orders[[#This Row],[Customer Gender]]="F","Female", orders[[#This Row],[Customer Gender]]="O","Other", TRUE,"Unknown")</f>
        <v>Female</v>
      </c>
    </row>
    <row r="1750" spans="1:15" x14ac:dyDescent="0.3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f t="array" ref="O1750">_xlfn.IFS(orders[[#This Row],[Customer Gender]]="M","Male", orders[[#This Row],[Customer Gender]]="F","Female", orders[[#This Row],[Customer Gender]]="O","Other", TRUE,"Unknown")</f>
        <v>Male</v>
      </c>
    </row>
    <row r="1751" spans="1:15" x14ac:dyDescent="0.3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f t="array" ref="O1751">_xlfn.IFS(orders[[#This Row],[Customer Gender]]="M","Male", orders[[#This Row],[Customer Gender]]="F","Female", orders[[#This Row],[Customer Gender]]="O","Other", TRUE,"Unknown")</f>
        <v>Male</v>
      </c>
    </row>
    <row r="1752" spans="1:15" x14ac:dyDescent="0.3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f t="array" ref="O1752">_xlfn.IFS(orders[[#This Row],[Customer Gender]]="M","Male", orders[[#This Row],[Customer Gender]]="F","Female", orders[[#This Row],[Customer Gender]]="O","Other", TRUE,"Unknown")</f>
        <v>Male</v>
      </c>
    </row>
    <row r="1753" spans="1:15" x14ac:dyDescent="0.3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f t="array" ref="O1753">_xlfn.IFS(orders[[#This Row],[Customer Gender]]="M","Male", orders[[#This Row],[Customer Gender]]="F","Female", orders[[#This Row],[Customer Gender]]="O","Other", TRUE,"Unknown")</f>
        <v>Female</v>
      </c>
    </row>
    <row r="1754" spans="1:15" x14ac:dyDescent="0.3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f t="array" ref="O1754">_xlfn.IFS(orders[[#This Row],[Customer Gender]]="M","Male", orders[[#This Row],[Customer Gender]]="F","Female", orders[[#This Row],[Customer Gender]]="O","Other", TRUE,"Unknown")</f>
        <v>Male</v>
      </c>
    </row>
    <row r="1755" spans="1:15" x14ac:dyDescent="0.3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f t="array" ref="O1755">_xlfn.IFS(orders[[#This Row],[Customer Gender]]="M","Male", orders[[#This Row],[Customer Gender]]="F","Female", orders[[#This Row],[Customer Gender]]="O","Other", TRUE,"Unknown")</f>
        <v>Female</v>
      </c>
    </row>
    <row r="1756" spans="1:15" x14ac:dyDescent="0.3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f t="array" ref="O1756">_xlfn.IFS(orders[[#This Row],[Customer Gender]]="M","Male", orders[[#This Row],[Customer Gender]]="F","Female", orders[[#This Row],[Customer Gender]]="O","Other", TRUE,"Unknown")</f>
        <v>Male</v>
      </c>
    </row>
    <row r="1757" spans="1:15" x14ac:dyDescent="0.3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f t="array" ref="O1757">_xlfn.IFS(orders[[#This Row],[Customer Gender]]="M","Male", orders[[#This Row],[Customer Gender]]="F","Female", orders[[#This Row],[Customer Gender]]="O","Other", TRUE,"Unknown")</f>
        <v>Female</v>
      </c>
    </row>
    <row r="1758" spans="1:15" x14ac:dyDescent="0.3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f t="array" ref="O1758">_xlfn.IFS(orders[[#This Row],[Customer Gender]]="M","Male", orders[[#This Row],[Customer Gender]]="F","Female", orders[[#This Row],[Customer Gender]]="O","Other", TRUE,"Unknown")</f>
        <v>Other</v>
      </c>
    </row>
    <row r="1759" spans="1:15" x14ac:dyDescent="0.3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f t="array" ref="O1759">_xlfn.IFS(orders[[#This Row],[Customer Gender]]="M","Male", orders[[#This Row],[Customer Gender]]="F","Female", orders[[#This Row],[Customer Gender]]="O","Other", TRUE,"Unknown")</f>
        <v>Male</v>
      </c>
    </row>
    <row r="1760" spans="1:15" x14ac:dyDescent="0.3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f t="array" ref="O1760">_xlfn.IFS(orders[[#This Row],[Customer Gender]]="M","Male", orders[[#This Row],[Customer Gender]]="F","Female", orders[[#This Row],[Customer Gender]]="O","Other", TRUE,"Unknown")</f>
        <v>Male</v>
      </c>
    </row>
    <row r="1761" spans="1:15" x14ac:dyDescent="0.3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f t="array" ref="O1761">_xlfn.IFS(orders[[#This Row],[Customer Gender]]="M","Male", orders[[#This Row],[Customer Gender]]="F","Female", orders[[#This Row],[Customer Gender]]="O","Other", TRUE,"Unknown")</f>
        <v>Female</v>
      </c>
    </row>
    <row r="1762" spans="1:15" x14ac:dyDescent="0.3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f t="array" ref="O1762">_xlfn.IFS(orders[[#This Row],[Customer Gender]]="M","Male", orders[[#This Row],[Customer Gender]]="F","Female", orders[[#This Row],[Customer Gender]]="O","Other", TRUE,"Unknown")</f>
        <v>Male</v>
      </c>
    </row>
    <row r="1763" spans="1:15" x14ac:dyDescent="0.3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f t="array" ref="O1763">_xlfn.IFS(orders[[#This Row],[Customer Gender]]="M","Male", orders[[#This Row],[Customer Gender]]="F","Female", orders[[#This Row],[Customer Gender]]="O","Other", TRUE,"Unknown")</f>
        <v>Male</v>
      </c>
    </row>
    <row r="1764" spans="1:15" x14ac:dyDescent="0.3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f t="array" ref="O1764">_xlfn.IFS(orders[[#This Row],[Customer Gender]]="M","Male", orders[[#This Row],[Customer Gender]]="F","Female", orders[[#This Row],[Customer Gender]]="O","Other", TRUE,"Unknown")</f>
        <v>Male</v>
      </c>
    </row>
    <row r="1765" spans="1:15" x14ac:dyDescent="0.3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f t="array" ref="O1765">_xlfn.IFS(orders[[#This Row],[Customer Gender]]="M","Male", orders[[#This Row],[Customer Gender]]="F","Female", orders[[#This Row],[Customer Gender]]="O","Other", TRUE,"Unknown")</f>
        <v>Male</v>
      </c>
    </row>
    <row r="1766" spans="1:15" x14ac:dyDescent="0.3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f t="array" ref="O1766">_xlfn.IFS(orders[[#This Row],[Customer Gender]]="M","Male", orders[[#This Row],[Customer Gender]]="F","Female", orders[[#This Row],[Customer Gender]]="O","Other", TRUE,"Unknown")</f>
        <v>Male</v>
      </c>
    </row>
    <row r="1767" spans="1:15" x14ac:dyDescent="0.3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f t="array" ref="O1767">_xlfn.IFS(orders[[#This Row],[Customer Gender]]="M","Male", orders[[#This Row],[Customer Gender]]="F","Female", orders[[#This Row],[Customer Gender]]="O","Other", TRUE,"Unknown")</f>
        <v>Male</v>
      </c>
    </row>
    <row r="1768" spans="1:15" x14ac:dyDescent="0.3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f t="array" ref="O1768">_xlfn.IFS(orders[[#This Row],[Customer Gender]]="M","Male", orders[[#This Row],[Customer Gender]]="F","Female", orders[[#This Row],[Customer Gender]]="O","Other", TRUE,"Unknown")</f>
        <v>Male</v>
      </c>
    </row>
    <row r="1769" spans="1:15" x14ac:dyDescent="0.3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f t="array" ref="O1769">_xlfn.IFS(orders[[#This Row],[Customer Gender]]="M","Male", orders[[#This Row],[Customer Gender]]="F","Female", orders[[#This Row],[Customer Gender]]="O","Other", TRUE,"Unknown")</f>
        <v>Male</v>
      </c>
    </row>
    <row r="1770" spans="1:15" x14ac:dyDescent="0.3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f t="array" ref="O1770">_xlfn.IFS(orders[[#This Row],[Customer Gender]]="M","Male", orders[[#This Row],[Customer Gender]]="F","Female", orders[[#This Row],[Customer Gender]]="O","Other", TRUE,"Unknown")</f>
        <v>Female</v>
      </c>
    </row>
    <row r="1771" spans="1:15" x14ac:dyDescent="0.3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f t="array" ref="O1771">_xlfn.IFS(orders[[#This Row],[Customer Gender]]="M","Male", orders[[#This Row],[Customer Gender]]="F","Female", orders[[#This Row],[Customer Gender]]="O","Other", TRUE,"Unknown")</f>
        <v>Female</v>
      </c>
    </row>
    <row r="1772" spans="1:15" x14ac:dyDescent="0.3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f t="array" ref="O1772">_xlfn.IFS(orders[[#This Row],[Customer Gender]]="M","Male", orders[[#This Row],[Customer Gender]]="F","Female", orders[[#This Row],[Customer Gender]]="O","Other", TRUE,"Unknown")</f>
        <v>Male</v>
      </c>
    </row>
    <row r="1773" spans="1:15" x14ac:dyDescent="0.3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f t="array" ref="O1773">_xlfn.IFS(orders[[#This Row],[Customer Gender]]="M","Male", orders[[#This Row],[Customer Gender]]="F","Female", orders[[#This Row],[Customer Gender]]="O","Other", TRUE,"Unknown")</f>
        <v>Male</v>
      </c>
    </row>
    <row r="1774" spans="1:15" x14ac:dyDescent="0.3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f t="array" ref="O1774">_xlfn.IFS(orders[[#This Row],[Customer Gender]]="M","Male", orders[[#This Row],[Customer Gender]]="F","Female", orders[[#This Row],[Customer Gender]]="O","Other", TRUE,"Unknown")</f>
        <v>Female</v>
      </c>
    </row>
    <row r="1775" spans="1:15" x14ac:dyDescent="0.3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f t="array" ref="O1775">_xlfn.IFS(orders[[#This Row],[Customer Gender]]="M","Male", orders[[#This Row],[Customer Gender]]="F","Female", orders[[#This Row],[Customer Gender]]="O","Other", TRUE,"Unknown")</f>
        <v>Female</v>
      </c>
    </row>
    <row r="1776" spans="1:15" x14ac:dyDescent="0.3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f t="array" ref="O1776">_xlfn.IFS(orders[[#This Row],[Customer Gender]]="M","Male", orders[[#This Row],[Customer Gender]]="F","Female", orders[[#This Row],[Customer Gender]]="O","Other", TRUE,"Unknown")</f>
        <v>Male</v>
      </c>
    </row>
    <row r="1777" spans="1:15" x14ac:dyDescent="0.3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f t="array" ref="O1777">_xlfn.IFS(orders[[#This Row],[Customer Gender]]="M","Male", orders[[#This Row],[Customer Gender]]="F","Female", orders[[#This Row],[Customer Gender]]="O","Other", TRUE,"Unknown")</f>
        <v>Male</v>
      </c>
    </row>
    <row r="1778" spans="1:15" x14ac:dyDescent="0.3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f t="array" ref="O1778">_xlfn.IFS(orders[[#This Row],[Customer Gender]]="M","Male", orders[[#This Row],[Customer Gender]]="F","Female", orders[[#This Row],[Customer Gender]]="O","Other", TRUE,"Unknown")</f>
        <v>Male</v>
      </c>
    </row>
    <row r="1779" spans="1:15" x14ac:dyDescent="0.3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f t="array" ref="O1779">_xlfn.IFS(orders[[#This Row],[Customer Gender]]="M","Male", orders[[#This Row],[Customer Gender]]="F","Female", orders[[#This Row],[Customer Gender]]="O","Other", TRUE,"Unknown")</f>
        <v>Male</v>
      </c>
    </row>
    <row r="1780" spans="1:15" x14ac:dyDescent="0.3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f t="array" ref="O1780">_xlfn.IFS(orders[[#This Row],[Customer Gender]]="M","Male", orders[[#This Row],[Customer Gender]]="F","Female", orders[[#This Row],[Customer Gender]]="O","Other", TRUE,"Unknown")</f>
        <v>Female</v>
      </c>
    </row>
    <row r="1781" spans="1:15" x14ac:dyDescent="0.3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f t="array" ref="O1781">_xlfn.IFS(orders[[#This Row],[Customer Gender]]="M","Male", orders[[#This Row],[Customer Gender]]="F","Female", orders[[#This Row],[Customer Gender]]="O","Other", TRUE,"Unknown")</f>
        <v>Female</v>
      </c>
    </row>
    <row r="1782" spans="1:15" x14ac:dyDescent="0.3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f t="array" ref="O1782">_xlfn.IFS(orders[[#This Row],[Customer Gender]]="M","Male", orders[[#This Row],[Customer Gender]]="F","Female", orders[[#This Row],[Customer Gender]]="O","Other", TRUE,"Unknown")</f>
        <v>Female</v>
      </c>
    </row>
    <row r="1783" spans="1:15" x14ac:dyDescent="0.3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f t="array" ref="O1783">_xlfn.IFS(orders[[#This Row],[Customer Gender]]="M","Male", orders[[#This Row],[Customer Gender]]="F","Female", orders[[#This Row],[Customer Gender]]="O","Other", TRUE,"Unknown")</f>
        <v>Female</v>
      </c>
    </row>
    <row r="1784" spans="1:15" x14ac:dyDescent="0.3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f t="array" ref="O1784">_xlfn.IFS(orders[[#This Row],[Customer Gender]]="M","Male", orders[[#This Row],[Customer Gender]]="F","Female", orders[[#This Row],[Customer Gender]]="O","Other", TRUE,"Unknown")</f>
        <v>Male</v>
      </c>
    </row>
    <row r="1785" spans="1:15" x14ac:dyDescent="0.3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f t="array" ref="O1785">_xlfn.IFS(orders[[#This Row],[Customer Gender]]="M","Male", orders[[#This Row],[Customer Gender]]="F","Female", orders[[#This Row],[Customer Gender]]="O","Other", TRUE,"Unknown")</f>
        <v>Female</v>
      </c>
    </row>
    <row r="1786" spans="1:15" x14ac:dyDescent="0.3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f t="array" ref="O1786">_xlfn.IFS(orders[[#This Row],[Customer Gender]]="M","Male", orders[[#This Row],[Customer Gender]]="F","Female", orders[[#This Row],[Customer Gender]]="O","Other", TRUE,"Unknown")</f>
        <v>Female</v>
      </c>
    </row>
    <row r="1787" spans="1:15" x14ac:dyDescent="0.3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f t="array" ref="O1787">_xlfn.IFS(orders[[#This Row],[Customer Gender]]="M","Male", orders[[#This Row],[Customer Gender]]="F","Female", orders[[#This Row],[Customer Gender]]="O","Other", TRUE,"Unknown")</f>
        <v>Female</v>
      </c>
    </row>
    <row r="1788" spans="1:15" x14ac:dyDescent="0.3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f t="array" ref="O1788">_xlfn.IFS(orders[[#This Row],[Customer Gender]]="M","Male", orders[[#This Row],[Customer Gender]]="F","Female", orders[[#This Row],[Customer Gender]]="O","Other", TRUE,"Unknown")</f>
        <v>Female</v>
      </c>
    </row>
    <row r="1789" spans="1:15" x14ac:dyDescent="0.3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f t="array" ref="O1789">_xlfn.IFS(orders[[#This Row],[Customer Gender]]="M","Male", orders[[#This Row],[Customer Gender]]="F","Female", orders[[#This Row],[Customer Gender]]="O","Other", TRUE,"Unknown")</f>
        <v>Male</v>
      </c>
    </row>
    <row r="1790" spans="1:15" x14ac:dyDescent="0.3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f t="array" ref="O1790">_xlfn.IFS(orders[[#This Row],[Customer Gender]]="M","Male", orders[[#This Row],[Customer Gender]]="F","Female", orders[[#This Row],[Customer Gender]]="O","Other", TRUE,"Unknown")</f>
        <v>Female</v>
      </c>
    </row>
    <row r="1791" spans="1:15" x14ac:dyDescent="0.3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f t="array" ref="O1791">_xlfn.IFS(orders[[#This Row],[Customer Gender]]="M","Male", orders[[#This Row],[Customer Gender]]="F","Female", orders[[#This Row],[Customer Gender]]="O","Other", TRUE,"Unknown")</f>
        <v>Female</v>
      </c>
    </row>
    <row r="1792" spans="1:15" x14ac:dyDescent="0.3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f t="array" ref="O1792">_xlfn.IFS(orders[[#This Row],[Customer Gender]]="M","Male", orders[[#This Row],[Customer Gender]]="F","Female", orders[[#This Row],[Customer Gender]]="O","Other", TRUE,"Unknown")</f>
        <v>Male</v>
      </c>
    </row>
    <row r="1793" spans="1:15" x14ac:dyDescent="0.3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f t="array" ref="O1793">_xlfn.IFS(orders[[#This Row],[Customer Gender]]="M","Male", orders[[#This Row],[Customer Gender]]="F","Female", orders[[#This Row],[Customer Gender]]="O","Other", TRUE,"Unknown")</f>
        <v>Male</v>
      </c>
    </row>
    <row r="1794" spans="1:15" x14ac:dyDescent="0.3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f t="array" ref="O1794">_xlfn.IFS(orders[[#This Row],[Customer Gender]]="M","Male", orders[[#This Row],[Customer Gender]]="F","Female", orders[[#This Row],[Customer Gender]]="O","Other", TRUE,"Unknown")</f>
        <v>Female</v>
      </c>
    </row>
    <row r="1795" spans="1:15" x14ac:dyDescent="0.3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f t="array" ref="O1795">_xlfn.IFS(orders[[#This Row],[Customer Gender]]="M","Male", orders[[#This Row],[Customer Gender]]="F","Female", orders[[#This Row],[Customer Gender]]="O","Other", TRUE,"Unknown")</f>
        <v>Male</v>
      </c>
    </row>
    <row r="1796" spans="1:15" x14ac:dyDescent="0.3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f t="array" ref="O1796">_xlfn.IFS(orders[[#This Row],[Customer Gender]]="M","Male", orders[[#This Row],[Customer Gender]]="F","Female", orders[[#This Row],[Customer Gender]]="O","Other", TRUE,"Unknown")</f>
        <v>Male</v>
      </c>
    </row>
    <row r="1797" spans="1:15" x14ac:dyDescent="0.3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f t="array" ref="O1797">_xlfn.IFS(orders[[#This Row],[Customer Gender]]="M","Male", orders[[#This Row],[Customer Gender]]="F","Female", orders[[#This Row],[Customer Gender]]="O","Other", TRUE,"Unknown")</f>
        <v>Male</v>
      </c>
    </row>
    <row r="1798" spans="1:15" x14ac:dyDescent="0.3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f t="array" ref="O1798">_xlfn.IFS(orders[[#This Row],[Customer Gender]]="M","Male", orders[[#This Row],[Customer Gender]]="F","Female", orders[[#This Row],[Customer Gender]]="O","Other", TRUE,"Unknown")</f>
        <v>Female</v>
      </c>
    </row>
    <row r="1799" spans="1:15" x14ac:dyDescent="0.3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f t="array" ref="O1799">_xlfn.IFS(orders[[#This Row],[Customer Gender]]="M","Male", orders[[#This Row],[Customer Gender]]="F","Female", orders[[#This Row],[Customer Gender]]="O","Other", TRUE,"Unknown")</f>
        <v>Male</v>
      </c>
    </row>
    <row r="1800" spans="1:15" x14ac:dyDescent="0.3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f t="array" ref="O1800">_xlfn.IFS(orders[[#This Row],[Customer Gender]]="M","Male", orders[[#This Row],[Customer Gender]]="F","Female", orders[[#This Row],[Customer Gender]]="O","Other", TRUE,"Unknown")</f>
        <v>Female</v>
      </c>
    </row>
    <row r="1801" spans="1:15" x14ac:dyDescent="0.3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f t="array" ref="O1801">_xlfn.IFS(orders[[#This Row],[Customer Gender]]="M","Male", orders[[#This Row],[Customer Gender]]="F","Female", orders[[#This Row],[Customer Gender]]="O","Other", TRUE,"Unknown")</f>
        <v>Female</v>
      </c>
    </row>
    <row r="1802" spans="1:15" x14ac:dyDescent="0.3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f t="array" ref="O1802">_xlfn.IFS(orders[[#This Row],[Customer Gender]]="M","Male", orders[[#This Row],[Customer Gender]]="F","Female", orders[[#This Row],[Customer Gender]]="O","Other", TRUE,"Unknown")</f>
        <v>Female</v>
      </c>
    </row>
    <row r="1803" spans="1:15" x14ac:dyDescent="0.3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f t="array" ref="O1803">_xlfn.IFS(orders[[#This Row],[Customer Gender]]="M","Male", orders[[#This Row],[Customer Gender]]="F","Female", orders[[#This Row],[Customer Gender]]="O","Other", TRUE,"Unknown")</f>
        <v>Female</v>
      </c>
    </row>
    <row r="1804" spans="1:15" x14ac:dyDescent="0.3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f t="array" ref="O1804">_xlfn.IFS(orders[[#This Row],[Customer Gender]]="M","Male", orders[[#This Row],[Customer Gender]]="F","Female", orders[[#This Row],[Customer Gender]]="O","Other", TRUE,"Unknown")</f>
        <v>Female</v>
      </c>
    </row>
    <row r="1805" spans="1:15" x14ac:dyDescent="0.3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f t="array" ref="O1805">_xlfn.IFS(orders[[#This Row],[Customer Gender]]="M","Male", orders[[#This Row],[Customer Gender]]="F","Female", orders[[#This Row],[Customer Gender]]="O","Other", TRUE,"Unknown")</f>
        <v>Male</v>
      </c>
    </row>
    <row r="1806" spans="1:15" x14ac:dyDescent="0.3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f t="array" ref="O1806">_xlfn.IFS(orders[[#This Row],[Customer Gender]]="M","Male", orders[[#This Row],[Customer Gender]]="F","Female", orders[[#This Row],[Customer Gender]]="O","Other", TRUE,"Unknown")</f>
        <v>Male</v>
      </c>
    </row>
    <row r="1807" spans="1:15" x14ac:dyDescent="0.3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f t="array" ref="O1807">_xlfn.IFS(orders[[#This Row],[Customer Gender]]="M","Male", orders[[#This Row],[Customer Gender]]="F","Female", orders[[#This Row],[Customer Gender]]="O","Other", TRUE,"Unknown")</f>
        <v>Female</v>
      </c>
    </row>
    <row r="1808" spans="1:15" x14ac:dyDescent="0.3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f t="array" ref="O1808">_xlfn.IFS(orders[[#This Row],[Customer Gender]]="M","Male", orders[[#This Row],[Customer Gender]]="F","Female", orders[[#This Row],[Customer Gender]]="O","Other", TRUE,"Unknown")</f>
        <v>Male</v>
      </c>
    </row>
    <row r="1809" spans="1:15" x14ac:dyDescent="0.3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f t="array" ref="O1809">_xlfn.IFS(orders[[#This Row],[Customer Gender]]="M","Male", orders[[#This Row],[Customer Gender]]="F","Female", orders[[#This Row],[Customer Gender]]="O","Other", TRUE,"Unknown")</f>
        <v>Female</v>
      </c>
    </row>
    <row r="1810" spans="1:15" x14ac:dyDescent="0.3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f t="array" ref="O1810">_xlfn.IFS(orders[[#This Row],[Customer Gender]]="M","Male", orders[[#This Row],[Customer Gender]]="F","Female", orders[[#This Row],[Customer Gender]]="O","Other", TRUE,"Unknown")</f>
        <v>Female</v>
      </c>
    </row>
    <row r="1811" spans="1:15" x14ac:dyDescent="0.3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f t="array" ref="O1811">_xlfn.IFS(orders[[#This Row],[Customer Gender]]="M","Male", orders[[#This Row],[Customer Gender]]="F","Female", orders[[#This Row],[Customer Gender]]="O","Other", TRUE,"Unknown")</f>
        <v>Female</v>
      </c>
    </row>
    <row r="1812" spans="1:15" x14ac:dyDescent="0.3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f t="array" ref="O1812">_xlfn.IFS(orders[[#This Row],[Customer Gender]]="M","Male", orders[[#This Row],[Customer Gender]]="F","Female", orders[[#This Row],[Customer Gender]]="O","Other", TRUE,"Unknown")</f>
        <v>Other</v>
      </c>
    </row>
    <row r="1813" spans="1:15" x14ac:dyDescent="0.3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f t="array" ref="O1813">_xlfn.IFS(orders[[#This Row],[Customer Gender]]="M","Male", orders[[#This Row],[Customer Gender]]="F","Female", orders[[#This Row],[Customer Gender]]="O","Other", TRUE,"Unknown")</f>
        <v>Female</v>
      </c>
    </row>
    <row r="1814" spans="1:15" x14ac:dyDescent="0.3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f t="array" ref="O1814">_xlfn.IFS(orders[[#This Row],[Customer Gender]]="M","Male", orders[[#This Row],[Customer Gender]]="F","Female", orders[[#This Row],[Customer Gender]]="O","Other", TRUE,"Unknown")</f>
        <v>Female</v>
      </c>
    </row>
    <row r="1815" spans="1:15" x14ac:dyDescent="0.3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f t="array" ref="O1815">_xlfn.IFS(orders[[#This Row],[Customer Gender]]="M","Male", orders[[#This Row],[Customer Gender]]="F","Female", orders[[#This Row],[Customer Gender]]="O","Other", TRUE,"Unknown")</f>
        <v>Male</v>
      </c>
    </row>
    <row r="1816" spans="1:15" x14ac:dyDescent="0.3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f t="array" ref="O1816">_xlfn.IFS(orders[[#This Row],[Customer Gender]]="M","Male", orders[[#This Row],[Customer Gender]]="F","Female", orders[[#This Row],[Customer Gender]]="O","Other", TRUE,"Unknown")</f>
        <v>Female</v>
      </c>
    </row>
    <row r="1817" spans="1:15" x14ac:dyDescent="0.3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f t="array" ref="O1817">_xlfn.IFS(orders[[#This Row],[Customer Gender]]="M","Male", orders[[#This Row],[Customer Gender]]="F","Female", orders[[#This Row],[Customer Gender]]="O","Other", TRUE,"Unknown")</f>
        <v>Male</v>
      </c>
    </row>
    <row r="1818" spans="1:15" x14ac:dyDescent="0.3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f t="array" ref="O1818">_xlfn.IFS(orders[[#This Row],[Customer Gender]]="M","Male", orders[[#This Row],[Customer Gender]]="F","Female", orders[[#This Row],[Customer Gender]]="O","Other", TRUE,"Unknown")</f>
        <v>Other</v>
      </c>
    </row>
    <row r="1819" spans="1:15" x14ac:dyDescent="0.3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f t="array" ref="O1819">_xlfn.IFS(orders[[#This Row],[Customer Gender]]="M","Male", orders[[#This Row],[Customer Gender]]="F","Female", orders[[#This Row],[Customer Gender]]="O","Other", TRUE,"Unknown")</f>
        <v>Female</v>
      </c>
    </row>
    <row r="1820" spans="1:15" x14ac:dyDescent="0.3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f t="array" ref="O1820">_xlfn.IFS(orders[[#This Row],[Customer Gender]]="M","Male", orders[[#This Row],[Customer Gender]]="F","Female", orders[[#This Row],[Customer Gender]]="O","Other", TRUE,"Unknown")</f>
        <v>Unknown</v>
      </c>
    </row>
    <row r="1821" spans="1:15" x14ac:dyDescent="0.3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f t="array" ref="O1821">_xlfn.IFS(orders[[#This Row],[Customer Gender]]="M","Male", orders[[#This Row],[Customer Gender]]="F","Female", orders[[#This Row],[Customer Gender]]="O","Other", TRUE,"Unknown")</f>
        <v>Female</v>
      </c>
    </row>
    <row r="1822" spans="1:15" x14ac:dyDescent="0.3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f t="array" ref="O1822">_xlfn.IFS(orders[[#This Row],[Customer Gender]]="M","Male", orders[[#This Row],[Customer Gender]]="F","Female", orders[[#This Row],[Customer Gender]]="O","Other", TRUE,"Unknown")</f>
        <v>Female</v>
      </c>
    </row>
    <row r="1823" spans="1:15" x14ac:dyDescent="0.3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f t="array" ref="O1823">_xlfn.IFS(orders[[#This Row],[Customer Gender]]="M","Male", orders[[#This Row],[Customer Gender]]="F","Female", orders[[#This Row],[Customer Gender]]="O","Other", TRUE,"Unknown")</f>
        <v>Unknown</v>
      </c>
    </row>
    <row r="1824" spans="1:15" x14ac:dyDescent="0.3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f t="array" ref="O1824">_xlfn.IFS(orders[[#This Row],[Customer Gender]]="M","Male", orders[[#This Row],[Customer Gender]]="F","Female", orders[[#This Row],[Customer Gender]]="O","Other", TRUE,"Unknown")</f>
        <v>Male</v>
      </c>
    </row>
    <row r="1825" spans="1:15" x14ac:dyDescent="0.3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f t="array" ref="O1825">_xlfn.IFS(orders[[#This Row],[Customer Gender]]="M","Male", orders[[#This Row],[Customer Gender]]="F","Female", orders[[#This Row],[Customer Gender]]="O","Other", TRUE,"Unknown")</f>
        <v>Other</v>
      </c>
    </row>
    <row r="1826" spans="1:15" x14ac:dyDescent="0.3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f t="array" ref="O1826">_xlfn.IFS(orders[[#This Row],[Customer Gender]]="M","Male", orders[[#This Row],[Customer Gender]]="F","Female", orders[[#This Row],[Customer Gender]]="O","Other", TRUE,"Unknown")</f>
        <v>Male</v>
      </c>
    </row>
    <row r="1827" spans="1:15" x14ac:dyDescent="0.3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f t="array" ref="O1827">_xlfn.IFS(orders[[#This Row],[Customer Gender]]="M","Male", orders[[#This Row],[Customer Gender]]="F","Female", orders[[#This Row],[Customer Gender]]="O","Other", TRUE,"Unknown")</f>
        <v>Female</v>
      </c>
    </row>
    <row r="1828" spans="1:15" x14ac:dyDescent="0.3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f t="array" ref="O1828">_xlfn.IFS(orders[[#This Row],[Customer Gender]]="M","Male", orders[[#This Row],[Customer Gender]]="F","Female", orders[[#This Row],[Customer Gender]]="O","Other", TRUE,"Unknown")</f>
        <v>Unknown</v>
      </c>
    </row>
    <row r="1829" spans="1:15" x14ac:dyDescent="0.3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f t="array" ref="O1829">_xlfn.IFS(orders[[#This Row],[Customer Gender]]="M","Male", orders[[#This Row],[Customer Gender]]="F","Female", orders[[#This Row],[Customer Gender]]="O","Other", TRUE,"Unknown")</f>
        <v>Male</v>
      </c>
    </row>
    <row r="1830" spans="1:15" x14ac:dyDescent="0.3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f t="array" ref="O1830">_xlfn.IFS(orders[[#This Row],[Customer Gender]]="M","Male", orders[[#This Row],[Customer Gender]]="F","Female", orders[[#This Row],[Customer Gender]]="O","Other", TRUE,"Unknown")</f>
        <v>Female</v>
      </c>
    </row>
    <row r="1831" spans="1:15" x14ac:dyDescent="0.3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f t="array" ref="O1831">_xlfn.IFS(orders[[#This Row],[Customer Gender]]="M","Male", orders[[#This Row],[Customer Gender]]="F","Female", orders[[#This Row],[Customer Gender]]="O","Other", TRUE,"Unknown")</f>
        <v>Male</v>
      </c>
    </row>
    <row r="1832" spans="1:15" x14ac:dyDescent="0.3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f t="array" ref="O1832">_xlfn.IFS(orders[[#This Row],[Customer Gender]]="M","Male", orders[[#This Row],[Customer Gender]]="F","Female", orders[[#This Row],[Customer Gender]]="O","Other", TRUE,"Unknown")</f>
        <v>Female</v>
      </c>
    </row>
    <row r="1833" spans="1:15" x14ac:dyDescent="0.3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f t="array" ref="O1833">_xlfn.IFS(orders[[#This Row],[Customer Gender]]="M","Male", orders[[#This Row],[Customer Gender]]="F","Female", orders[[#This Row],[Customer Gender]]="O","Other", TRUE,"Unknown")</f>
        <v>Unknown</v>
      </c>
    </row>
    <row r="1834" spans="1:15" x14ac:dyDescent="0.3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f t="array" ref="O1834">_xlfn.IFS(orders[[#This Row],[Customer Gender]]="M","Male", orders[[#This Row],[Customer Gender]]="F","Female", orders[[#This Row],[Customer Gender]]="O","Other", TRUE,"Unknown")</f>
        <v>Female</v>
      </c>
    </row>
    <row r="1835" spans="1:15" x14ac:dyDescent="0.3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f t="array" ref="O1835">_xlfn.IFS(orders[[#This Row],[Customer Gender]]="M","Male", orders[[#This Row],[Customer Gender]]="F","Female", orders[[#This Row],[Customer Gender]]="O","Other", TRUE,"Unknown")</f>
        <v>Male</v>
      </c>
    </row>
    <row r="1836" spans="1:15" x14ac:dyDescent="0.3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f t="array" ref="O1836">_xlfn.IFS(orders[[#This Row],[Customer Gender]]="M","Male", orders[[#This Row],[Customer Gender]]="F","Female", orders[[#This Row],[Customer Gender]]="O","Other", TRUE,"Unknown")</f>
        <v>Male</v>
      </c>
    </row>
    <row r="1837" spans="1:15" x14ac:dyDescent="0.3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f t="array" ref="O1837">_xlfn.IFS(orders[[#This Row],[Customer Gender]]="M","Male", orders[[#This Row],[Customer Gender]]="F","Female", orders[[#This Row],[Customer Gender]]="O","Other", TRUE,"Unknown")</f>
        <v>Female</v>
      </c>
    </row>
    <row r="1838" spans="1:15" x14ac:dyDescent="0.3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f t="array" ref="O1838">_xlfn.IFS(orders[[#This Row],[Customer Gender]]="M","Male", orders[[#This Row],[Customer Gender]]="F","Female", orders[[#This Row],[Customer Gender]]="O","Other", TRUE,"Unknown")</f>
        <v>Female</v>
      </c>
    </row>
    <row r="1839" spans="1:15" x14ac:dyDescent="0.3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f t="array" ref="O1839">_xlfn.IFS(orders[[#This Row],[Customer Gender]]="M","Male", orders[[#This Row],[Customer Gender]]="F","Female", orders[[#This Row],[Customer Gender]]="O","Other", TRUE,"Unknown")</f>
        <v>Female</v>
      </c>
    </row>
    <row r="1840" spans="1:15" x14ac:dyDescent="0.3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f t="array" ref="O1840">_xlfn.IFS(orders[[#This Row],[Customer Gender]]="M","Male", orders[[#This Row],[Customer Gender]]="F","Female", orders[[#This Row],[Customer Gender]]="O","Other", TRUE,"Unknown")</f>
        <v>Male</v>
      </c>
    </row>
    <row r="1841" spans="1:15" x14ac:dyDescent="0.3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f t="array" ref="O1841">_xlfn.IFS(orders[[#This Row],[Customer Gender]]="M","Male", orders[[#This Row],[Customer Gender]]="F","Female", orders[[#This Row],[Customer Gender]]="O","Other", TRUE,"Unknown")</f>
        <v>Female</v>
      </c>
    </row>
    <row r="1842" spans="1:15" x14ac:dyDescent="0.3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f t="array" ref="O1842">_xlfn.IFS(orders[[#This Row],[Customer Gender]]="M","Male", orders[[#This Row],[Customer Gender]]="F","Female", orders[[#This Row],[Customer Gender]]="O","Other", TRUE,"Unknown")</f>
        <v>Male</v>
      </c>
    </row>
    <row r="1843" spans="1:15" x14ac:dyDescent="0.3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f t="array" ref="O1843">_xlfn.IFS(orders[[#This Row],[Customer Gender]]="M","Male", orders[[#This Row],[Customer Gender]]="F","Female", orders[[#This Row],[Customer Gender]]="O","Other", TRUE,"Unknown")</f>
        <v>Female</v>
      </c>
    </row>
    <row r="1844" spans="1:15" x14ac:dyDescent="0.3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f t="array" ref="O1844">_xlfn.IFS(orders[[#This Row],[Customer Gender]]="M","Male", orders[[#This Row],[Customer Gender]]="F","Female", orders[[#This Row],[Customer Gender]]="O","Other", TRUE,"Unknown")</f>
        <v>Unknown</v>
      </c>
    </row>
    <row r="1845" spans="1:15" x14ac:dyDescent="0.3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f t="array" ref="O1845">_xlfn.IFS(orders[[#This Row],[Customer Gender]]="M","Male", orders[[#This Row],[Customer Gender]]="F","Female", orders[[#This Row],[Customer Gender]]="O","Other", TRUE,"Unknown")</f>
        <v>Female</v>
      </c>
    </row>
    <row r="1846" spans="1:15" x14ac:dyDescent="0.3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f t="array" ref="O1846">_xlfn.IFS(orders[[#This Row],[Customer Gender]]="M","Male", orders[[#This Row],[Customer Gender]]="F","Female", orders[[#This Row],[Customer Gender]]="O","Other", TRUE,"Unknown")</f>
        <v>Male</v>
      </c>
    </row>
    <row r="1847" spans="1:15" x14ac:dyDescent="0.3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f t="array" ref="O1847">_xlfn.IFS(orders[[#This Row],[Customer Gender]]="M","Male", orders[[#This Row],[Customer Gender]]="F","Female", orders[[#This Row],[Customer Gender]]="O","Other", TRUE,"Unknown")</f>
        <v>Other</v>
      </c>
    </row>
    <row r="1848" spans="1:15" x14ac:dyDescent="0.3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f t="array" ref="O1848">_xlfn.IFS(orders[[#This Row],[Customer Gender]]="M","Male", orders[[#This Row],[Customer Gender]]="F","Female", orders[[#This Row],[Customer Gender]]="O","Other", TRUE,"Unknown")</f>
        <v>Female</v>
      </c>
    </row>
    <row r="1849" spans="1:15" x14ac:dyDescent="0.3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f t="array" ref="O1849">_xlfn.IFS(orders[[#This Row],[Customer Gender]]="M","Male", orders[[#This Row],[Customer Gender]]="F","Female", orders[[#This Row],[Customer Gender]]="O","Other", TRUE,"Unknown")</f>
        <v>Female</v>
      </c>
    </row>
    <row r="1850" spans="1:15" x14ac:dyDescent="0.3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f t="array" ref="O1850">_xlfn.IFS(orders[[#This Row],[Customer Gender]]="M","Male", orders[[#This Row],[Customer Gender]]="F","Female", orders[[#This Row],[Customer Gender]]="O","Other", TRUE,"Unknown")</f>
        <v>Female</v>
      </c>
    </row>
    <row r="1851" spans="1:15" x14ac:dyDescent="0.3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f t="array" ref="O1851">_xlfn.IFS(orders[[#This Row],[Customer Gender]]="M","Male", orders[[#This Row],[Customer Gender]]="F","Female", orders[[#This Row],[Customer Gender]]="O","Other", TRUE,"Unknown")</f>
        <v>Male</v>
      </c>
    </row>
    <row r="1852" spans="1:15" x14ac:dyDescent="0.3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f t="array" ref="O1852">_xlfn.IFS(orders[[#This Row],[Customer Gender]]="M","Male", orders[[#This Row],[Customer Gender]]="F","Female", orders[[#This Row],[Customer Gender]]="O","Other", TRUE,"Unknown")</f>
        <v>Female</v>
      </c>
    </row>
    <row r="1853" spans="1:15" x14ac:dyDescent="0.3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f t="array" ref="O1853">_xlfn.IFS(orders[[#This Row],[Customer Gender]]="M","Male", orders[[#This Row],[Customer Gender]]="F","Female", orders[[#This Row],[Customer Gender]]="O","Other", TRUE,"Unknown")</f>
        <v>Female</v>
      </c>
    </row>
    <row r="1854" spans="1:15" x14ac:dyDescent="0.3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f t="array" ref="O1854">_xlfn.IFS(orders[[#This Row],[Customer Gender]]="M","Male", orders[[#This Row],[Customer Gender]]="F","Female", orders[[#This Row],[Customer Gender]]="O","Other", TRUE,"Unknown")</f>
        <v>Female</v>
      </c>
    </row>
    <row r="1855" spans="1:15" x14ac:dyDescent="0.3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f t="array" ref="O1855">_xlfn.IFS(orders[[#This Row],[Customer Gender]]="M","Male", orders[[#This Row],[Customer Gender]]="F","Female", orders[[#This Row],[Customer Gender]]="O","Other", TRUE,"Unknown")</f>
        <v>Male</v>
      </c>
    </row>
    <row r="1856" spans="1:15" x14ac:dyDescent="0.3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f t="array" ref="O1856">_xlfn.IFS(orders[[#This Row],[Customer Gender]]="M","Male", orders[[#This Row],[Customer Gender]]="F","Female", orders[[#This Row],[Customer Gender]]="O","Other", TRUE,"Unknown")</f>
        <v>Female</v>
      </c>
    </row>
    <row r="1857" spans="1:15" x14ac:dyDescent="0.3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f t="array" ref="O1857">_xlfn.IFS(orders[[#This Row],[Customer Gender]]="M","Male", orders[[#This Row],[Customer Gender]]="F","Female", orders[[#This Row],[Customer Gender]]="O","Other", TRUE,"Unknown")</f>
        <v>Male</v>
      </c>
    </row>
    <row r="1858" spans="1:15" x14ac:dyDescent="0.3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f t="array" ref="O1858">_xlfn.IFS(orders[[#This Row],[Customer Gender]]="M","Male", orders[[#This Row],[Customer Gender]]="F","Female", orders[[#This Row],[Customer Gender]]="O","Other", TRUE,"Unknown")</f>
        <v>Female</v>
      </c>
    </row>
    <row r="1859" spans="1:15" x14ac:dyDescent="0.3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f t="array" ref="O1859">_xlfn.IFS(orders[[#This Row],[Customer Gender]]="M","Male", orders[[#This Row],[Customer Gender]]="F","Female", orders[[#This Row],[Customer Gender]]="O","Other", TRUE,"Unknown")</f>
        <v>Female</v>
      </c>
    </row>
    <row r="1860" spans="1:15" x14ac:dyDescent="0.3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f t="array" ref="O1860">_xlfn.IFS(orders[[#This Row],[Customer Gender]]="M","Male", orders[[#This Row],[Customer Gender]]="F","Female", orders[[#This Row],[Customer Gender]]="O","Other", TRUE,"Unknown")</f>
        <v>Female</v>
      </c>
    </row>
    <row r="1861" spans="1:15" x14ac:dyDescent="0.3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f t="array" ref="O1861">_xlfn.IFS(orders[[#This Row],[Customer Gender]]="M","Male", orders[[#This Row],[Customer Gender]]="F","Female", orders[[#This Row],[Customer Gender]]="O","Other", TRUE,"Unknown")</f>
        <v>Male</v>
      </c>
    </row>
    <row r="1862" spans="1:15" x14ac:dyDescent="0.3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f t="array" ref="O1862">_xlfn.IFS(orders[[#This Row],[Customer Gender]]="M","Male", orders[[#This Row],[Customer Gender]]="F","Female", orders[[#This Row],[Customer Gender]]="O","Other", TRUE,"Unknown")</f>
        <v>Male</v>
      </c>
    </row>
    <row r="1863" spans="1:15" x14ac:dyDescent="0.3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f t="array" ref="O1863">_xlfn.IFS(orders[[#This Row],[Customer Gender]]="M","Male", orders[[#This Row],[Customer Gender]]="F","Female", orders[[#This Row],[Customer Gender]]="O","Other", TRUE,"Unknown")</f>
        <v>Other</v>
      </c>
    </row>
    <row r="1864" spans="1:15" x14ac:dyDescent="0.3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f t="array" ref="O1864">_xlfn.IFS(orders[[#This Row],[Customer Gender]]="M","Male", orders[[#This Row],[Customer Gender]]="F","Female", orders[[#This Row],[Customer Gender]]="O","Other", TRUE,"Unknown")</f>
        <v>Male</v>
      </c>
    </row>
    <row r="1865" spans="1:15" x14ac:dyDescent="0.3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f t="array" ref="O1865">_xlfn.IFS(orders[[#This Row],[Customer Gender]]="M","Male", orders[[#This Row],[Customer Gender]]="F","Female", orders[[#This Row],[Customer Gender]]="O","Other", TRUE,"Unknown")</f>
        <v>Female</v>
      </c>
    </row>
    <row r="1866" spans="1:15" x14ac:dyDescent="0.3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f t="array" ref="O1866">_xlfn.IFS(orders[[#This Row],[Customer Gender]]="M","Male", orders[[#This Row],[Customer Gender]]="F","Female", orders[[#This Row],[Customer Gender]]="O","Other", TRUE,"Unknown")</f>
        <v>Female</v>
      </c>
    </row>
    <row r="1867" spans="1:15" x14ac:dyDescent="0.3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f t="array" ref="O1867">_xlfn.IFS(orders[[#This Row],[Customer Gender]]="M","Male", orders[[#This Row],[Customer Gender]]="F","Female", orders[[#This Row],[Customer Gender]]="O","Other", TRUE,"Unknown")</f>
        <v>Male</v>
      </c>
    </row>
    <row r="1868" spans="1:15" x14ac:dyDescent="0.3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f t="array" ref="O1868">_xlfn.IFS(orders[[#This Row],[Customer Gender]]="M","Male", orders[[#This Row],[Customer Gender]]="F","Female", orders[[#This Row],[Customer Gender]]="O","Other", TRUE,"Unknown")</f>
        <v>Other</v>
      </c>
    </row>
    <row r="1869" spans="1:15" x14ac:dyDescent="0.3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f t="array" ref="O1869">_xlfn.IFS(orders[[#This Row],[Customer Gender]]="M","Male", orders[[#This Row],[Customer Gender]]="F","Female", orders[[#This Row],[Customer Gender]]="O","Other", TRUE,"Unknown")</f>
        <v>Female</v>
      </c>
    </row>
    <row r="1870" spans="1:15" x14ac:dyDescent="0.3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f t="array" ref="O1870">_xlfn.IFS(orders[[#This Row],[Customer Gender]]="M","Male", orders[[#This Row],[Customer Gender]]="F","Female", orders[[#This Row],[Customer Gender]]="O","Other", TRUE,"Unknown")</f>
        <v>Other</v>
      </c>
    </row>
    <row r="1871" spans="1:15" x14ac:dyDescent="0.3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f t="array" ref="O1871">_xlfn.IFS(orders[[#This Row],[Customer Gender]]="M","Male", orders[[#This Row],[Customer Gender]]="F","Female", orders[[#This Row],[Customer Gender]]="O","Other", TRUE,"Unknown")</f>
        <v>Female</v>
      </c>
    </row>
    <row r="1872" spans="1:15" x14ac:dyDescent="0.3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f t="array" ref="O1872">_xlfn.IFS(orders[[#This Row],[Customer Gender]]="M","Male", orders[[#This Row],[Customer Gender]]="F","Female", orders[[#This Row],[Customer Gender]]="O","Other", TRUE,"Unknown")</f>
        <v>Female</v>
      </c>
    </row>
    <row r="1873" spans="1:15" x14ac:dyDescent="0.3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f t="array" ref="O1873">_xlfn.IFS(orders[[#This Row],[Customer Gender]]="M","Male", orders[[#This Row],[Customer Gender]]="F","Female", orders[[#This Row],[Customer Gender]]="O","Other", TRUE,"Unknown")</f>
        <v>Male</v>
      </c>
    </row>
    <row r="1874" spans="1:15" x14ac:dyDescent="0.3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f t="array" ref="O1874">_xlfn.IFS(orders[[#This Row],[Customer Gender]]="M","Male", orders[[#This Row],[Customer Gender]]="F","Female", orders[[#This Row],[Customer Gender]]="O","Other", TRUE,"Unknown")</f>
        <v>Female</v>
      </c>
    </row>
    <row r="1875" spans="1:15" x14ac:dyDescent="0.3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f t="array" ref="O1875">_xlfn.IFS(orders[[#This Row],[Customer Gender]]="M","Male", orders[[#This Row],[Customer Gender]]="F","Female", orders[[#This Row],[Customer Gender]]="O","Other", TRUE,"Unknown")</f>
        <v>Other</v>
      </c>
    </row>
    <row r="1876" spans="1:15" x14ac:dyDescent="0.3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f t="array" ref="O1876">_xlfn.IFS(orders[[#This Row],[Customer Gender]]="M","Male", orders[[#This Row],[Customer Gender]]="F","Female", orders[[#This Row],[Customer Gender]]="O","Other", TRUE,"Unknown")</f>
        <v>Female</v>
      </c>
    </row>
    <row r="1877" spans="1:15" x14ac:dyDescent="0.3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f t="array" ref="O1877">_xlfn.IFS(orders[[#This Row],[Customer Gender]]="M","Male", orders[[#This Row],[Customer Gender]]="F","Female", orders[[#This Row],[Customer Gender]]="O","Other", TRUE,"Unknown")</f>
        <v>Female</v>
      </c>
    </row>
    <row r="1878" spans="1:15" x14ac:dyDescent="0.3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f t="array" ref="O1878">_xlfn.IFS(orders[[#This Row],[Customer Gender]]="M","Male", orders[[#This Row],[Customer Gender]]="F","Female", orders[[#This Row],[Customer Gender]]="O","Other", TRUE,"Unknown")</f>
        <v>Female</v>
      </c>
    </row>
    <row r="1879" spans="1:15" x14ac:dyDescent="0.3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f t="array" ref="O1879">_xlfn.IFS(orders[[#This Row],[Customer Gender]]="M","Male", orders[[#This Row],[Customer Gender]]="F","Female", orders[[#This Row],[Customer Gender]]="O","Other", TRUE,"Unknown")</f>
        <v>Female</v>
      </c>
    </row>
    <row r="1880" spans="1:15" x14ac:dyDescent="0.3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f t="array" ref="O1880">_xlfn.IFS(orders[[#This Row],[Customer Gender]]="M","Male", orders[[#This Row],[Customer Gender]]="F","Female", orders[[#This Row],[Customer Gender]]="O","Other", TRUE,"Unknown")</f>
        <v>Female</v>
      </c>
    </row>
    <row r="1881" spans="1:15" x14ac:dyDescent="0.3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f t="array" ref="O1881">_xlfn.IFS(orders[[#This Row],[Customer Gender]]="M","Male", orders[[#This Row],[Customer Gender]]="F","Female", orders[[#This Row],[Customer Gender]]="O","Other", TRUE,"Unknown")</f>
        <v>Male</v>
      </c>
    </row>
    <row r="1882" spans="1:15" x14ac:dyDescent="0.3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f t="array" ref="O1882">_xlfn.IFS(orders[[#This Row],[Customer Gender]]="M","Male", orders[[#This Row],[Customer Gender]]="F","Female", orders[[#This Row],[Customer Gender]]="O","Other", TRUE,"Unknown")</f>
        <v>Female</v>
      </c>
    </row>
    <row r="1883" spans="1:15" x14ac:dyDescent="0.3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f t="array" ref="O1883">_xlfn.IFS(orders[[#This Row],[Customer Gender]]="M","Male", orders[[#This Row],[Customer Gender]]="F","Female", orders[[#This Row],[Customer Gender]]="O","Other", TRUE,"Unknown")</f>
        <v>Female</v>
      </c>
    </row>
    <row r="1884" spans="1:15" x14ac:dyDescent="0.3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f t="array" ref="O1884">_xlfn.IFS(orders[[#This Row],[Customer Gender]]="M","Male", orders[[#This Row],[Customer Gender]]="F","Female", orders[[#This Row],[Customer Gender]]="O","Other", TRUE,"Unknown")</f>
        <v>Male</v>
      </c>
    </row>
    <row r="1885" spans="1:15" x14ac:dyDescent="0.3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f t="array" ref="O1885">_xlfn.IFS(orders[[#This Row],[Customer Gender]]="M","Male", orders[[#This Row],[Customer Gender]]="F","Female", orders[[#This Row],[Customer Gender]]="O","Other", TRUE,"Unknown")</f>
        <v>Male</v>
      </c>
    </row>
    <row r="1886" spans="1:15" x14ac:dyDescent="0.3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f t="array" ref="O1886">_xlfn.IFS(orders[[#This Row],[Customer Gender]]="M","Male", orders[[#This Row],[Customer Gender]]="F","Female", orders[[#This Row],[Customer Gender]]="O","Other", TRUE,"Unknown")</f>
        <v>Unknown</v>
      </c>
    </row>
    <row r="1887" spans="1:15" x14ac:dyDescent="0.3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f t="array" ref="O1887">_xlfn.IFS(orders[[#This Row],[Customer Gender]]="M","Male", orders[[#This Row],[Customer Gender]]="F","Female", orders[[#This Row],[Customer Gender]]="O","Other", TRUE,"Unknown")</f>
        <v>Male</v>
      </c>
    </row>
    <row r="1888" spans="1:15" x14ac:dyDescent="0.3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f t="array" ref="O1888">_xlfn.IFS(orders[[#This Row],[Customer Gender]]="M","Male", orders[[#This Row],[Customer Gender]]="F","Female", orders[[#This Row],[Customer Gender]]="O","Other", TRUE,"Unknown")</f>
        <v>Female</v>
      </c>
    </row>
    <row r="1889" spans="1:15" x14ac:dyDescent="0.3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f t="array" ref="O1889">_xlfn.IFS(orders[[#This Row],[Customer Gender]]="M","Male", orders[[#This Row],[Customer Gender]]="F","Female", orders[[#This Row],[Customer Gender]]="O","Other", TRUE,"Unknown")</f>
        <v>Female</v>
      </c>
    </row>
    <row r="1890" spans="1:15" x14ac:dyDescent="0.3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f t="array" ref="O1890">_xlfn.IFS(orders[[#This Row],[Customer Gender]]="M","Male", orders[[#This Row],[Customer Gender]]="F","Female", orders[[#This Row],[Customer Gender]]="O","Other", TRUE,"Unknown")</f>
        <v>Female</v>
      </c>
    </row>
    <row r="1891" spans="1:15" x14ac:dyDescent="0.3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f t="array" ref="O1891">_xlfn.IFS(orders[[#This Row],[Customer Gender]]="M","Male", orders[[#This Row],[Customer Gender]]="F","Female", orders[[#This Row],[Customer Gender]]="O","Other", TRUE,"Unknown")</f>
        <v>Male</v>
      </c>
    </row>
    <row r="1892" spans="1:15" x14ac:dyDescent="0.3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f t="array" ref="O1892">_xlfn.IFS(orders[[#This Row],[Customer Gender]]="M","Male", orders[[#This Row],[Customer Gender]]="F","Female", orders[[#This Row],[Customer Gender]]="O","Other", TRUE,"Unknown")</f>
        <v>Female</v>
      </c>
    </row>
    <row r="1893" spans="1:15" x14ac:dyDescent="0.3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f t="array" ref="O1893">_xlfn.IFS(orders[[#This Row],[Customer Gender]]="M","Male", orders[[#This Row],[Customer Gender]]="F","Female", orders[[#This Row],[Customer Gender]]="O","Other", TRUE,"Unknown")</f>
        <v>Male</v>
      </c>
    </row>
    <row r="1894" spans="1:15" x14ac:dyDescent="0.3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f t="array" ref="O1894">_xlfn.IFS(orders[[#This Row],[Customer Gender]]="M","Male", orders[[#This Row],[Customer Gender]]="F","Female", orders[[#This Row],[Customer Gender]]="O","Other", TRUE,"Unknown")</f>
        <v>Male</v>
      </c>
    </row>
    <row r="1895" spans="1:15" x14ac:dyDescent="0.3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f t="array" ref="O1895">_xlfn.IFS(orders[[#This Row],[Customer Gender]]="M","Male", orders[[#This Row],[Customer Gender]]="F","Female", orders[[#This Row],[Customer Gender]]="O","Other", TRUE,"Unknown")</f>
        <v>Male</v>
      </c>
    </row>
    <row r="1896" spans="1:15" x14ac:dyDescent="0.3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f t="array" ref="O1896">_xlfn.IFS(orders[[#This Row],[Customer Gender]]="M","Male", orders[[#This Row],[Customer Gender]]="F","Female", orders[[#This Row],[Customer Gender]]="O","Other", TRUE,"Unknown")</f>
        <v>Female</v>
      </c>
    </row>
    <row r="1897" spans="1:15" x14ac:dyDescent="0.3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f t="array" ref="O1897">_xlfn.IFS(orders[[#This Row],[Customer Gender]]="M","Male", orders[[#This Row],[Customer Gender]]="F","Female", orders[[#This Row],[Customer Gender]]="O","Other", TRUE,"Unknown")</f>
        <v>Male</v>
      </c>
    </row>
    <row r="1898" spans="1:15" x14ac:dyDescent="0.3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f t="array" ref="O1898">_xlfn.IFS(orders[[#This Row],[Customer Gender]]="M","Male", orders[[#This Row],[Customer Gender]]="F","Female", orders[[#This Row],[Customer Gender]]="O","Other", TRUE,"Unknown")</f>
        <v>Male</v>
      </c>
    </row>
    <row r="1899" spans="1:15" x14ac:dyDescent="0.3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f t="array" ref="O1899">_xlfn.IFS(orders[[#This Row],[Customer Gender]]="M","Male", orders[[#This Row],[Customer Gender]]="F","Female", orders[[#This Row],[Customer Gender]]="O","Other", TRUE,"Unknown")</f>
        <v>Male</v>
      </c>
    </row>
    <row r="1900" spans="1:15" x14ac:dyDescent="0.3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f t="array" ref="O1900">_xlfn.IFS(orders[[#This Row],[Customer Gender]]="M","Male", orders[[#This Row],[Customer Gender]]="F","Female", orders[[#This Row],[Customer Gender]]="O","Other", TRUE,"Unknown")</f>
        <v>Female</v>
      </c>
    </row>
    <row r="1901" spans="1:15" x14ac:dyDescent="0.3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f t="array" ref="O1901">_xlfn.IFS(orders[[#This Row],[Customer Gender]]="M","Male", orders[[#This Row],[Customer Gender]]="F","Female", orders[[#This Row],[Customer Gender]]="O","Other", TRUE,"Unknown")</f>
        <v>Female</v>
      </c>
    </row>
    <row r="1902" spans="1:15" x14ac:dyDescent="0.3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f t="array" ref="O1902">_xlfn.IFS(orders[[#This Row],[Customer Gender]]="M","Male", orders[[#This Row],[Customer Gender]]="F","Female", orders[[#This Row],[Customer Gender]]="O","Other", TRUE,"Unknown")</f>
        <v>Female</v>
      </c>
    </row>
    <row r="1903" spans="1:15" x14ac:dyDescent="0.3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f t="array" ref="O1903">_xlfn.IFS(orders[[#This Row],[Customer Gender]]="M","Male", orders[[#This Row],[Customer Gender]]="F","Female", orders[[#This Row],[Customer Gender]]="O","Other", TRUE,"Unknown")</f>
        <v>Female</v>
      </c>
    </row>
    <row r="1904" spans="1:15" x14ac:dyDescent="0.3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f t="array" ref="O1904">_xlfn.IFS(orders[[#This Row],[Customer Gender]]="M","Male", orders[[#This Row],[Customer Gender]]="F","Female", orders[[#This Row],[Customer Gender]]="O","Other", TRUE,"Unknown")</f>
        <v>Male</v>
      </c>
    </row>
    <row r="1905" spans="1:15" x14ac:dyDescent="0.3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f t="array" ref="O1905">_xlfn.IFS(orders[[#This Row],[Customer Gender]]="M","Male", orders[[#This Row],[Customer Gender]]="F","Female", orders[[#This Row],[Customer Gender]]="O","Other", TRUE,"Unknown")</f>
        <v>Female</v>
      </c>
    </row>
    <row r="1906" spans="1:15" x14ac:dyDescent="0.3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f t="array" ref="O1906">_xlfn.IFS(orders[[#This Row],[Customer Gender]]="M","Male", orders[[#This Row],[Customer Gender]]="F","Female", orders[[#This Row],[Customer Gender]]="O","Other", TRUE,"Unknown")</f>
        <v>Female</v>
      </c>
    </row>
    <row r="1907" spans="1:15" x14ac:dyDescent="0.3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f t="array" ref="O1907">_xlfn.IFS(orders[[#This Row],[Customer Gender]]="M","Male", orders[[#This Row],[Customer Gender]]="F","Female", orders[[#This Row],[Customer Gender]]="O","Other", TRUE,"Unknown")</f>
        <v>Male</v>
      </c>
    </row>
    <row r="1908" spans="1:15" x14ac:dyDescent="0.3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f t="array" ref="O1908">_xlfn.IFS(orders[[#This Row],[Customer Gender]]="M","Male", orders[[#This Row],[Customer Gender]]="F","Female", orders[[#This Row],[Customer Gender]]="O","Other", TRUE,"Unknown")</f>
        <v>Male</v>
      </c>
    </row>
    <row r="1909" spans="1:15" x14ac:dyDescent="0.3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f t="array" ref="O1909">_xlfn.IFS(orders[[#This Row],[Customer Gender]]="M","Male", orders[[#This Row],[Customer Gender]]="F","Female", orders[[#This Row],[Customer Gender]]="O","Other", TRUE,"Unknown")</f>
        <v>Female</v>
      </c>
    </row>
    <row r="1910" spans="1:15" x14ac:dyDescent="0.3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f t="array" ref="O1910">_xlfn.IFS(orders[[#This Row],[Customer Gender]]="M","Male", orders[[#This Row],[Customer Gender]]="F","Female", orders[[#This Row],[Customer Gender]]="O","Other", TRUE,"Unknown")</f>
        <v>Unknown</v>
      </c>
    </row>
    <row r="1911" spans="1:15" x14ac:dyDescent="0.3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f t="array" ref="O1911">_xlfn.IFS(orders[[#This Row],[Customer Gender]]="M","Male", orders[[#This Row],[Customer Gender]]="F","Female", orders[[#This Row],[Customer Gender]]="O","Other", TRUE,"Unknown")</f>
        <v>Female</v>
      </c>
    </row>
    <row r="1912" spans="1:15" x14ac:dyDescent="0.3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f t="array" ref="O1912">_xlfn.IFS(orders[[#This Row],[Customer Gender]]="M","Male", orders[[#This Row],[Customer Gender]]="F","Female", orders[[#This Row],[Customer Gender]]="O","Other", TRUE,"Unknown")</f>
        <v>Female</v>
      </c>
    </row>
    <row r="1913" spans="1:15" x14ac:dyDescent="0.3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f t="array" ref="O1913">_xlfn.IFS(orders[[#This Row],[Customer Gender]]="M","Male", orders[[#This Row],[Customer Gender]]="F","Female", orders[[#This Row],[Customer Gender]]="O","Other", TRUE,"Unknown")</f>
        <v>Other</v>
      </c>
    </row>
    <row r="1914" spans="1:15" x14ac:dyDescent="0.3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f t="array" ref="O1914">_xlfn.IFS(orders[[#This Row],[Customer Gender]]="M","Male", orders[[#This Row],[Customer Gender]]="F","Female", orders[[#This Row],[Customer Gender]]="O","Other", TRUE,"Unknown")</f>
        <v>Male</v>
      </c>
    </row>
    <row r="1915" spans="1:15" x14ac:dyDescent="0.3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f t="array" ref="O1915">_xlfn.IFS(orders[[#This Row],[Customer Gender]]="M","Male", orders[[#This Row],[Customer Gender]]="F","Female", orders[[#This Row],[Customer Gender]]="O","Other", TRUE,"Unknown")</f>
        <v>Female</v>
      </c>
    </row>
    <row r="1916" spans="1:15" x14ac:dyDescent="0.3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f t="array" ref="O1916">_xlfn.IFS(orders[[#This Row],[Customer Gender]]="M","Male", orders[[#This Row],[Customer Gender]]="F","Female", orders[[#This Row],[Customer Gender]]="O","Other", TRUE,"Unknown")</f>
        <v>Female</v>
      </c>
    </row>
    <row r="1917" spans="1:15" x14ac:dyDescent="0.3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f t="array" ref="O1917">_xlfn.IFS(orders[[#This Row],[Customer Gender]]="M","Male", orders[[#This Row],[Customer Gender]]="F","Female", orders[[#This Row],[Customer Gender]]="O","Other", TRUE,"Unknown")</f>
        <v>Female</v>
      </c>
    </row>
    <row r="1918" spans="1:15" x14ac:dyDescent="0.3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f t="array" ref="O1918">_xlfn.IFS(orders[[#This Row],[Customer Gender]]="M","Male", orders[[#This Row],[Customer Gender]]="F","Female", orders[[#This Row],[Customer Gender]]="O","Other", TRUE,"Unknown")</f>
        <v>Other</v>
      </c>
    </row>
    <row r="1919" spans="1:15" x14ac:dyDescent="0.3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f t="array" ref="O1919">_xlfn.IFS(orders[[#This Row],[Customer Gender]]="M","Male", orders[[#This Row],[Customer Gender]]="F","Female", orders[[#This Row],[Customer Gender]]="O","Other", TRUE,"Unknown")</f>
        <v>Female</v>
      </c>
    </row>
    <row r="1920" spans="1:15" x14ac:dyDescent="0.3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f t="array" ref="O1920">_xlfn.IFS(orders[[#This Row],[Customer Gender]]="M","Male", orders[[#This Row],[Customer Gender]]="F","Female", orders[[#This Row],[Customer Gender]]="O","Other", TRUE,"Unknown")</f>
        <v>Female</v>
      </c>
    </row>
    <row r="1921" spans="1:15" x14ac:dyDescent="0.3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f t="array" ref="O1921">_xlfn.IFS(orders[[#This Row],[Customer Gender]]="M","Male", orders[[#This Row],[Customer Gender]]="F","Female", orders[[#This Row],[Customer Gender]]="O","Other", TRUE,"Unknown")</f>
        <v>Male</v>
      </c>
    </row>
    <row r="1922" spans="1:15" x14ac:dyDescent="0.3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f t="array" ref="O1922">_xlfn.IFS(orders[[#This Row],[Customer Gender]]="M","Male", orders[[#This Row],[Customer Gender]]="F","Female", orders[[#This Row],[Customer Gender]]="O","Other", TRUE,"Unknown")</f>
        <v>Male</v>
      </c>
    </row>
    <row r="1923" spans="1:15" x14ac:dyDescent="0.3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f t="array" ref="O1923">_xlfn.IFS(orders[[#This Row],[Customer Gender]]="M","Male", orders[[#This Row],[Customer Gender]]="F","Female", orders[[#This Row],[Customer Gender]]="O","Other", TRUE,"Unknown")</f>
        <v>Male</v>
      </c>
    </row>
    <row r="1924" spans="1:15" x14ac:dyDescent="0.3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f t="array" ref="O1924">_xlfn.IFS(orders[[#This Row],[Customer Gender]]="M","Male", orders[[#This Row],[Customer Gender]]="F","Female", orders[[#This Row],[Customer Gender]]="O","Other", TRUE,"Unknown")</f>
        <v>Male</v>
      </c>
    </row>
    <row r="1925" spans="1:15" x14ac:dyDescent="0.3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f t="array" ref="O1925">_xlfn.IFS(orders[[#This Row],[Customer Gender]]="M","Male", orders[[#This Row],[Customer Gender]]="F","Female", orders[[#This Row],[Customer Gender]]="O","Other", TRUE,"Unknown")</f>
        <v>Female</v>
      </c>
    </row>
    <row r="1926" spans="1:15" x14ac:dyDescent="0.3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f t="array" ref="O1926">_xlfn.IFS(orders[[#This Row],[Customer Gender]]="M","Male", orders[[#This Row],[Customer Gender]]="F","Female", orders[[#This Row],[Customer Gender]]="O","Other", TRUE,"Unknown")</f>
        <v>Female</v>
      </c>
    </row>
    <row r="1927" spans="1:15" x14ac:dyDescent="0.3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f t="array" ref="O1927">_xlfn.IFS(orders[[#This Row],[Customer Gender]]="M","Male", orders[[#This Row],[Customer Gender]]="F","Female", orders[[#This Row],[Customer Gender]]="O","Other", TRUE,"Unknown")</f>
        <v>Female</v>
      </c>
    </row>
    <row r="1928" spans="1:15" x14ac:dyDescent="0.3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f t="array" ref="O1928">_xlfn.IFS(orders[[#This Row],[Customer Gender]]="M","Male", orders[[#This Row],[Customer Gender]]="F","Female", orders[[#This Row],[Customer Gender]]="O","Other", TRUE,"Unknown")</f>
        <v>Unknown</v>
      </c>
    </row>
    <row r="1929" spans="1:15" x14ac:dyDescent="0.3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f t="array" ref="O1929">_xlfn.IFS(orders[[#This Row],[Customer Gender]]="M","Male", orders[[#This Row],[Customer Gender]]="F","Female", orders[[#This Row],[Customer Gender]]="O","Other", TRUE,"Unknown")</f>
        <v>Other</v>
      </c>
    </row>
    <row r="1930" spans="1:15" x14ac:dyDescent="0.3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f t="array" ref="O1930">_xlfn.IFS(orders[[#This Row],[Customer Gender]]="M","Male", orders[[#This Row],[Customer Gender]]="F","Female", orders[[#This Row],[Customer Gender]]="O","Other", TRUE,"Unknown")</f>
        <v>Female</v>
      </c>
    </row>
    <row r="1931" spans="1:15" x14ac:dyDescent="0.3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f t="array" ref="O1931">_xlfn.IFS(orders[[#This Row],[Customer Gender]]="M","Male", orders[[#This Row],[Customer Gender]]="F","Female", orders[[#This Row],[Customer Gender]]="O","Other", TRUE,"Unknown")</f>
        <v>Male</v>
      </c>
    </row>
    <row r="1932" spans="1:15" x14ac:dyDescent="0.3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f t="array" ref="O1932">_xlfn.IFS(orders[[#This Row],[Customer Gender]]="M","Male", orders[[#This Row],[Customer Gender]]="F","Female", orders[[#This Row],[Customer Gender]]="O","Other", TRUE,"Unknown")</f>
        <v>Male</v>
      </c>
    </row>
    <row r="1933" spans="1:15" x14ac:dyDescent="0.3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f t="array" ref="O1933">_xlfn.IFS(orders[[#This Row],[Customer Gender]]="M","Male", orders[[#This Row],[Customer Gender]]="F","Female", orders[[#This Row],[Customer Gender]]="O","Other", TRUE,"Unknown")</f>
        <v>Female</v>
      </c>
    </row>
    <row r="1934" spans="1:15" x14ac:dyDescent="0.3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f t="array" ref="O1934">_xlfn.IFS(orders[[#This Row],[Customer Gender]]="M","Male", orders[[#This Row],[Customer Gender]]="F","Female", orders[[#This Row],[Customer Gender]]="O","Other", TRUE,"Unknown")</f>
        <v>Female</v>
      </c>
    </row>
    <row r="1935" spans="1:15" x14ac:dyDescent="0.3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f t="array" ref="O1935">_xlfn.IFS(orders[[#This Row],[Customer Gender]]="M","Male", orders[[#This Row],[Customer Gender]]="F","Female", orders[[#This Row],[Customer Gender]]="O","Other", TRUE,"Unknown")</f>
        <v>Male</v>
      </c>
    </row>
    <row r="1936" spans="1:15" x14ac:dyDescent="0.3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f t="array" ref="O1936">_xlfn.IFS(orders[[#This Row],[Customer Gender]]="M","Male", orders[[#This Row],[Customer Gender]]="F","Female", orders[[#This Row],[Customer Gender]]="O","Other", TRUE,"Unknown")</f>
        <v>Female</v>
      </c>
    </row>
    <row r="1937" spans="1:15" x14ac:dyDescent="0.3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f t="array" ref="O1937">_xlfn.IFS(orders[[#This Row],[Customer Gender]]="M","Male", orders[[#This Row],[Customer Gender]]="F","Female", orders[[#This Row],[Customer Gender]]="O","Other", TRUE,"Unknown")</f>
        <v>Male</v>
      </c>
    </row>
    <row r="1938" spans="1:15" x14ac:dyDescent="0.3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f t="array" ref="O1938">_xlfn.IFS(orders[[#This Row],[Customer Gender]]="M","Male", orders[[#This Row],[Customer Gender]]="F","Female", orders[[#This Row],[Customer Gender]]="O","Other", TRUE,"Unknown")</f>
        <v>Female</v>
      </c>
    </row>
    <row r="1939" spans="1:15" x14ac:dyDescent="0.3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f t="array" ref="O1939">_xlfn.IFS(orders[[#This Row],[Customer Gender]]="M","Male", orders[[#This Row],[Customer Gender]]="F","Female", orders[[#This Row],[Customer Gender]]="O","Other", TRUE,"Unknown")</f>
        <v>Female</v>
      </c>
    </row>
    <row r="1940" spans="1:15" x14ac:dyDescent="0.3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f t="array" ref="O1940">_xlfn.IFS(orders[[#This Row],[Customer Gender]]="M","Male", orders[[#This Row],[Customer Gender]]="F","Female", orders[[#This Row],[Customer Gender]]="O","Other", TRUE,"Unknown")</f>
        <v>Male</v>
      </c>
    </row>
    <row r="1941" spans="1:15" x14ac:dyDescent="0.3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f t="array" ref="O1941">_xlfn.IFS(orders[[#This Row],[Customer Gender]]="M","Male", orders[[#This Row],[Customer Gender]]="F","Female", orders[[#This Row],[Customer Gender]]="O","Other", TRUE,"Unknown")</f>
        <v>Male</v>
      </c>
    </row>
    <row r="1942" spans="1:15" x14ac:dyDescent="0.3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f t="array" ref="O1942">_xlfn.IFS(orders[[#This Row],[Customer Gender]]="M","Male", orders[[#This Row],[Customer Gender]]="F","Female", orders[[#This Row],[Customer Gender]]="O","Other", TRUE,"Unknown")</f>
        <v>Male</v>
      </c>
    </row>
    <row r="1943" spans="1:15" x14ac:dyDescent="0.3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f t="array" ref="O1943">_xlfn.IFS(orders[[#This Row],[Customer Gender]]="M","Male", orders[[#This Row],[Customer Gender]]="F","Female", orders[[#This Row],[Customer Gender]]="O","Other", TRUE,"Unknown")</f>
        <v>Female</v>
      </c>
    </row>
    <row r="1944" spans="1:15" x14ac:dyDescent="0.3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f t="array" ref="O1944">_xlfn.IFS(orders[[#This Row],[Customer Gender]]="M","Male", orders[[#This Row],[Customer Gender]]="F","Female", orders[[#This Row],[Customer Gender]]="O","Other", TRUE,"Unknown")</f>
        <v>Male</v>
      </c>
    </row>
    <row r="1945" spans="1:15" x14ac:dyDescent="0.3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f t="array" ref="O1945">_xlfn.IFS(orders[[#This Row],[Customer Gender]]="M","Male", orders[[#This Row],[Customer Gender]]="F","Female", orders[[#This Row],[Customer Gender]]="O","Other", TRUE,"Unknown")</f>
        <v>Male</v>
      </c>
    </row>
    <row r="1946" spans="1:15" x14ac:dyDescent="0.3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f t="array" ref="O1946">_xlfn.IFS(orders[[#This Row],[Customer Gender]]="M","Male", orders[[#This Row],[Customer Gender]]="F","Female", orders[[#This Row],[Customer Gender]]="O","Other", TRUE,"Unknown")</f>
        <v>Male</v>
      </c>
    </row>
    <row r="1947" spans="1:15" x14ac:dyDescent="0.3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f t="array" ref="O1947">_xlfn.IFS(orders[[#This Row],[Customer Gender]]="M","Male", orders[[#This Row],[Customer Gender]]="F","Female", orders[[#This Row],[Customer Gender]]="O","Other", TRUE,"Unknown")</f>
        <v>Male</v>
      </c>
    </row>
    <row r="1948" spans="1:15" x14ac:dyDescent="0.3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f t="array" ref="O1948">_xlfn.IFS(orders[[#This Row],[Customer Gender]]="M","Male", orders[[#This Row],[Customer Gender]]="F","Female", orders[[#This Row],[Customer Gender]]="O","Other", TRUE,"Unknown")</f>
        <v>Unknown</v>
      </c>
    </row>
    <row r="1949" spans="1:15" x14ac:dyDescent="0.3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f t="array" ref="O1949">_xlfn.IFS(orders[[#This Row],[Customer Gender]]="M","Male", orders[[#This Row],[Customer Gender]]="F","Female", orders[[#This Row],[Customer Gender]]="O","Other", TRUE,"Unknown")</f>
        <v>Male</v>
      </c>
    </row>
    <row r="1950" spans="1:15" x14ac:dyDescent="0.3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f t="array" ref="O1950">_xlfn.IFS(orders[[#This Row],[Customer Gender]]="M","Male", orders[[#This Row],[Customer Gender]]="F","Female", orders[[#This Row],[Customer Gender]]="O","Other", TRUE,"Unknown")</f>
        <v>Female</v>
      </c>
    </row>
    <row r="1951" spans="1:15" x14ac:dyDescent="0.3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f t="array" ref="O1951">_xlfn.IFS(orders[[#This Row],[Customer Gender]]="M","Male", orders[[#This Row],[Customer Gender]]="F","Female", orders[[#This Row],[Customer Gender]]="O","Other", TRUE,"Unknown")</f>
        <v>Female</v>
      </c>
    </row>
    <row r="1952" spans="1:15" x14ac:dyDescent="0.3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f t="array" ref="O1952">_xlfn.IFS(orders[[#This Row],[Customer Gender]]="M","Male", orders[[#This Row],[Customer Gender]]="F","Female", orders[[#This Row],[Customer Gender]]="O","Other", TRUE,"Unknown")</f>
        <v>Male</v>
      </c>
    </row>
    <row r="1953" spans="1:15" x14ac:dyDescent="0.3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f t="array" ref="O1953">_xlfn.IFS(orders[[#This Row],[Customer Gender]]="M","Male", orders[[#This Row],[Customer Gender]]="F","Female", orders[[#This Row],[Customer Gender]]="O","Other", TRUE,"Unknown")</f>
        <v>Female</v>
      </c>
    </row>
    <row r="1954" spans="1:15" x14ac:dyDescent="0.3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f t="array" ref="O1954">_xlfn.IFS(orders[[#This Row],[Customer Gender]]="M","Male", orders[[#This Row],[Customer Gender]]="F","Female", orders[[#This Row],[Customer Gender]]="O","Other", TRUE,"Unknown")</f>
        <v>Male</v>
      </c>
    </row>
    <row r="1955" spans="1:15" x14ac:dyDescent="0.3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f t="array" ref="O1955">_xlfn.IFS(orders[[#This Row],[Customer Gender]]="M","Male", orders[[#This Row],[Customer Gender]]="F","Female", orders[[#This Row],[Customer Gender]]="O","Other", TRUE,"Unknown")</f>
        <v>Male</v>
      </c>
    </row>
    <row r="1956" spans="1:15" x14ac:dyDescent="0.3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f t="array" ref="O1956">_xlfn.IFS(orders[[#This Row],[Customer Gender]]="M","Male", orders[[#This Row],[Customer Gender]]="F","Female", orders[[#This Row],[Customer Gender]]="O","Other", TRUE,"Unknown")</f>
        <v>Female</v>
      </c>
    </row>
    <row r="1957" spans="1:15" x14ac:dyDescent="0.3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f t="array" ref="O1957">_xlfn.IFS(orders[[#This Row],[Customer Gender]]="M","Male", orders[[#This Row],[Customer Gender]]="F","Female", orders[[#This Row],[Customer Gender]]="O","Other", TRUE,"Unknown")</f>
        <v>Female</v>
      </c>
    </row>
    <row r="1958" spans="1:15" x14ac:dyDescent="0.3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f t="array" ref="O1958">_xlfn.IFS(orders[[#This Row],[Customer Gender]]="M","Male", orders[[#This Row],[Customer Gender]]="F","Female", orders[[#This Row],[Customer Gender]]="O","Other", TRUE,"Unknown")</f>
        <v>Female</v>
      </c>
    </row>
    <row r="1959" spans="1:15" x14ac:dyDescent="0.3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f t="array" ref="O1959">_xlfn.IFS(orders[[#This Row],[Customer Gender]]="M","Male", orders[[#This Row],[Customer Gender]]="F","Female", orders[[#This Row],[Customer Gender]]="O","Other", TRUE,"Unknown")</f>
        <v>Male</v>
      </c>
    </row>
    <row r="1960" spans="1:15" x14ac:dyDescent="0.3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f t="array" ref="O1960">_xlfn.IFS(orders[[#This Row],[Customer Gender]]="M","Male", orders[[#This Row],[Customer Gender]]="F","Female", orders[[#This Row],[Customer Gender]]="O","Other", TRUE,"Unknown")</f>
        <v>Female</v>
      </c>
    </row>
    <row r="1961" spans="1:15" x14ac:dyDescent="0.3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f t="array" ref="O1961">_xlfn.IFS(orders[[#This Row],[Customer Gender]]="M","Male", orders[[#This Row],[Customer Gender]]="F","Female", orders[[#This Row],[Customer Gender]]="O","Other", TRUE,"Unknown")</f>
        <v>Male</v>
      </c>
    </row>
    <row r="1962" spans="1:15" x14ac:dyDescent="0.3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f t="array" ref="O1962">_xlfn.IFS(orders[[#This Row],[Customer Gender]]="M","Male", orders[[#This Row],[Customer Gender]]="F","Female", orders[[#This Row],[Customer Gender]]="O","Other", TRUE,"Unknown")</f>
        <v>Male</v>
      </c>
    </row>
    <row r="1963" spans="1:15" x14ac:dyDescent="0.3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f t="array" ref="O1963">_xlfn.IFS(orders[[#This Row],[Customer Gender]]="M","Male", orders[[#This Row],[Customer Gender]]="F","Female", orders[[#This Row],[Customer Gender]]="O","Other", TRUE,"Unknown")</f>
        <v>Male</v>
      </c>
    </row>
    <row r="1964" spans="1:15" x14ac:dyDescent="0.3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f t="array" ref="O1964">_xlfn.IFS(orders[[#This Row],[Customer Gender]]="M","Male", orders[[#This Row],[Customer Gender]]="F","Female", orders[[#This Row],[Customer Gender]]="O","Other", TRUE,"Unknown")</f>
        <v>Female</v>
      </c>
    </row>
    <row r="1965" spans="1:15" x14ac:dyDescent="0.3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f t="array" ref="O1965">_xlfn.IFS(orders[[#This Row],[Customer Gender]]="M","Male", orders[[#This Row],[Customer Gender]]="F","Female", orders[[#This Row],[Customer Gender]]="O","Other", TRUE,"Unknown")</f>
        <v>Male</v>
      </c>
    </row>
    <row r="1966" spans="1:15" x14ac:dyDescent="0.3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f t="array" ref="O1966">_xlfn.IFS(orders[[#This Row],[Customer Gender]]="M","Male", orders[[#This Row],[Customer Gender]]="F","Female", orders[[#This Row],[Customer Gender]]="O","Other", TRUE,"Unknown")</f>
        <v>Female</v>
      </c>
    </row>
    <row r="1967" spans="1:15" x14ac:dyDescent="0.3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f t="array" ref="O1967">_xlfn.IFS(orders[[#This Row],[Customer Gender]]="M","Male", orders[[#This Row],[Customer Gender]]="F","Female", orders[[#This Row],[Customer Gender]]="O","Other", TRUE,"Unknown")</f>
        <v>Male</v>
      </c>
    </row>
    <row r="1968" spans="1:15" x14ac:dyDescent="0.3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f t="array" ref="O1968">_xlfn.IFS(orders[[#This Row],[Customer Gender]]="M","Male", orders[[#This Row],[Customer Gender]]="F","Female", orders[[#This Row],[Customer Gender]]="O","Other", TRUE,"Unknown")</f>
        <v>Male</v>
      </c>
    </row>
    <row r="1969" spans="1:15" x14ac:dyDescent="0.3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f t="array" ref="O1969">_xlfn.IFS(orders[[#This Row],[Customer Gender]]="M","Male", orders[[#This Row],[Customer Gender]]="F","Female", orders[[#This Row],[Customer Gender]]="O","Other", TRUE,"Unknown")</f>
        <v>Female</v>
      </c>
    </row>
    <row r="1970" spans="1:15" x14ac:dyDescent="0.3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f t="array" ref="O1970">_xlfn.IFS(orders[[#This Row],[Customer Gender]]="M","Male", orders[[#This Row],[Customer Gender]]="F","Female", orders[[#This Row],[Customer Gender]]="O","Other", TRUE,"Unknown")</f>
        <v>Other</v>
      </c>
    </row>
    <row r="1971" spans="1:15" x14ac:dyDescent="0.3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f t="array" ref="O1971">_xlfn.IFS(orders[[#This Row],[Customer Gender]]="M","Male", orders[[#This Row],[Customer Gender]]="F","Female", orders[[#This Row],[Customer Gender]]="O","Other", TRUE,"Unknown")</f>
        <v>Unknown</v>
      </c>
    </row>
    <row r="1972" spans="1:15" x14ac:dyDescent="0.3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f t="array" ref="O1972">_xlfn.IFS(orders[[#This Row],[Customer Gender]]="M","Male", orders[[#This Row],[Customer Gender]]="F","Female", orders[[#This Row],[Customer Gender]]="O","Other", TRUE,"Unknown")</f>
        <v>Female</v>
      </c>
    </row>
    <row r="1973" spans="1:15" x14ac:dyDescent="0.3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f t="array" ref="O1973">_xlfn.IFS(orders[[#This Row],[Customer Gender]]="M","Male", orders[[#This Row],[Customer Gender]]="F","Female", orders[[#This Row],[Customer Gender]]="O","Other", TRUE,"Unknown")</f>
        <v>Male</v>
      </c>
    </row>
    <row r="1974" spans="1:15" x14ac:dyDescent="0.3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f t="array" ref="O1974">_xlfn.IFS(orders[[#This Row],[Customer Gender]]="M","Male", orders[[#This Row],[Customer Gender]]="F","Female", orders[[#This Row],[Customer Gender]]="O","Other", TRUE,"Unknown")</f>
        <v>Male</v>
      </c>
    </row>
    <row r="1975" spans="1:15" x14ac:dyDescent="0.3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f t="array" ref="O1975">_xlfn.IFS(orders[[#This Row],[Customer Gender]]="M","Male", orders[[#This Row],[Customer Gender]]="F","Female", orders[[#This Row],[Customer Gender]]="O","Other", TRUE,"Unknown")</f>
        <v>Female</v>
      </c>
    </row>
    <row r="1976" spans="1:15" x14ac:dyDescent="0.3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f t="array" ref="O1976">_xlfn.IFS(orders[[#This Row],[Customer Gender]]="M","Male", orders[[#This Row],[Customer Gender]]="F","Female", orders[[#This Row],[Customer Gender]]="O","Other", TRUE,"Unknown")</f>
        <v>Female</v>
      </c>
    </row>
    <row r="1977" spans="1:15" x14ac:dyDescent="0.3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f t="array" ref="O1977">_xlfn.IFS(orders[[#This Row],[Customer Gender]]="M","Male", orders[[#This Row],[Customer Gender]]="F","Female", orders[[#This Row],[Customer Gender]]="O","Other", TRUE,"Unknown")</f>
        <v>Male</v>
      </c>
    </row>
    <row r="1978" spans="1:15" x14ac:dyDescent="0.3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f t="array" ref="O1978">_xlfn.IFS(orders[[#This Row],[Customer Gender]]="M","Male", orders[[#This Row],[Customer Gender]]="F","Female", orders[[#This Row],[Customer Gender]]="O","Other", TRUE,"Unknown")</f>
        <v>Male</v>
      </c>
    </row>
    <row r="1979" spans="1:15" x14ac:dyDescent="0.3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f t="array" ref="O1979">_xlfn.IFS(orders[[#This Row],[Customer Gender]]="M","Male", orders[[#This Row],[Customer Gender]]="F","Female", orders[[#This Row],[Customer Gender]]="O","Other", TRUE,"Unknown")</f>
        <v>Other</v>
      </c>
    </row>
    <row r="1980" spans="1:15" x14ac:dyDescent="0.3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f t="array" ref="O1980">_xlfn.IFS(orders[[#This Row],[Customer Gender]]="M","Male", orders[[#This Row],[Customer Gender]]="F","Female", orders[[#This Row],[Customer Gender]]="O","Other", TRUE,"Unknown")</f>
        <v>Male</v>
      </c>
    </row>
    <row r="1981" spans="1:15" x14ac:dyDescent="0.3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f t="array" ref="O1981">_xlfn.IFS(orders[[#This Row],[Customer Gender]]="M","Male", orders[[#This Row],[Customer Gender]]="F","Female", orders[[#This Row],[Customer Gender]]="O","Other", TRUE,"Unknown")</f>
        <v>Male</v>
      </c>
    </row>
    <row r="1982" spans="1:15" x14ac:dyDescent="0.3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f t="array" ref="O1982">_xlfn.IFS(orders[[#This Row],[Customer Gender]]="M","Male", orders[[#This Row],[Customer Gender]]="F","Female", orders[[#This Row],[Customer Gender]]="O","Other", TRUE,"Unknown")</f>
        <v>Female</v>
      </c>
    </row>
    <row r="1983" spans="1:15" x14ac:dyDescent="0.3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f t="array" ref="O1983">_xlfn.IFS(orders[[#This Row],[Customer Gender]]="M","Male", orders[[#This Row],[Customer Gender]]="F","Female", orders[[#This Row],[Customer Gender]]="O","Other", TRUE,"Unknown")</f>
        <v>Female</v>
      </c>
    </row>
    <row r="1984" spans="1:15" x14ac:dyDescent="0.3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f t="array" ref="O1984">_xlfn.IFS(orders[[#This Row],[Customer Gender]]="M","Male", orders[[#This Row],[Customer Gender]]="F","Female", orders[[#This Row],[Customer Gender]]="O","Other", TRUE,"Unknown")</f>
        <v>Male</v>
      </c>
    </row>
    <row r="1985" spans="1:15" x14ac:dyDescent="0.3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f t="array" ref="O1985">_xlfn.IFS(orders[[#This Row],[Customer Gender]]="M","Male", orders[[#This Row],[Customer Gender]]="F","Female", orders[[#This Row],[Customer Gender]]="O","Other", TRUE,"Unknown")</f>
        <v>Female</v>
      </c>
    </row>
    <row r="1986" spans="1:15" x14ac:dyDescent="0.3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f t="array" ref="O1986">_xlfn.IFS(orders[[#This Row],[Customer Gender]]="M","Male", orders[[#This Row],[Customer Gender]]="F","Female", orders[[#This Row],[Customer Gender]]="O","Other", TRUE,"Unknown")</f>
        <v>Female</v>
      </c>
    </row>
    <row r="1987" spans="1:15" x14ac:dyDescent="0.3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f t="array" ref="O1987">_xlfn.IFS(orders[[#This Row],[Customer Gender]]="M","Male", orders[[#This Row],[Customer Gender]]="F","Female", orders[[#This Row],[Customer Gender]]="O","Other", TRUE,"Unknown")</f>
        <v>Female</v>
      </c>
    </row>
    <row r="1988" spans="1:15" x14ac:dyDescent="0.3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f t="array" ref="O1988">_xlfn.IFS(orders[[#This Row],[Customer Gender]]="M","Male", orders[[#This Row],[Customer Gender]]="F","Female", orders[[#This Row],[Customer Gender]]="O","Other", TRUE,"Unknown")</f>
        <v>Male</v>
      </c>
    </row>
    <row r="1989" spans="1:15" x14ac:dyDescent="0.3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f t="array" ref="O1989">_xlfn.IFS(orders[[#This Row],[Customer Gender]]="M","Male", orders[[#This Row],[Customer Gender]]="F","Female", orders[[#This Row],[Customer Gender]]="O","Other", TRUE,"Unknown")</f>
        <v>Unknown</v>
      </c>
    </row>
    <row r="1990" spans="1:15" x14ac:dyDescent="0.3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f t="array" ref="O1990">_xlfn.IFS(orders[[#This Row],[Customer Gender]]="M","Male", orders[[#This Row],[Customer Gender]]="F","Female", orders[[#This Row],[Customer Gender]]="O","Other", TRUE,"Unknown")</f>
        <v>Female</v>
      </c>
    </row>
    <row r="1991" spans="1:15" x14ac:dyDescent="0.3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f t="array" ref="O1991">_xlfn.IFS(orders[[#This Row],[Customer Gender]]="M","Male", orders[[#This Row],[Customer Gender]]="F","Female", orders[[#This Row],[Customer Gender]]="O","Other", TRUE,"Unknown")</f>
        <v>Unknown</v>
      </c>
    </row>
    <row r="1992" spans="1:15" x14ac:dyDescent="0.3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f t="array" ref="O1992">_xlfn.IFS(orders[[#This Row],[Customer Gender]]="M","Male", orders[[#This Row],[Customer Gender]]="F","Female", orders[[#This Row],[Customer Gender]]="O","Other", TRUE,"Unknown")</f>
        <v>Unknown</v>
      </c>
    </row>
    <row r="1993" spans="1:15" x14ac:dyDescent="0.3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f t="array" ref="O1993">_xlfn.IFS(orders[[#This Row],[Customer Gender]]="M","Male", orders[[#This Row],[Customer Gender]]="F","Female", orders[[#This Row],[Customer Gender]]="O","Other", TRUE,"Unknown")</f>
        <v>Female</v>
      </c>
    </row>
    <row r="1994" spans="1:15" x14ac:dyDescent="0.3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f t="array" ref="O1994">_xlfn.IFS(orders[[#This Row],[Customer Gender]]="M","Male", orders[[#This Row],[Customer Gender]]="F","Female", orders[[#This Row],[Customer Gender]]="O","Other", TRUE,"Unknown")</f>
        <v>Female</v>
      </c>
    </row>
    <row r="1995" spans="1:15" x14ac:dyDescent="0.3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f t="array" ref="O1995">_xlfn.IFS(orders[[#This Row],[Customer Gender]]="M","Male", orders[[#This Row],[Customer Gender]]="F","Female", orders[[#This Row],[Customer Gender]]="O","Other", TRUE,"Unknown")</f>
        <v>Male</v>
      </c>
    </row>
    <row r="1996" spans="1:15" x14ac:dyDescent="0.3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f t="array" ref="O1996">_xlfn.IFS(orders[[#This Row],[Customer Gender]]="M","Male", orders[[#This Row],[Customer Gender]]="F","Female", orders[[#This Row],[Customer Gender]]="O","Other", TRUE,"Unknown")</f>
        <v>Male</v>
      </c>
    </row>
    <row r="1997" spans="1:15" x14ac:dyDescent="0.3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f t="array" ref="O1997">_xlfn.IFS(orders[[#This Row],[Customer Gender]]="M","Male", orders[[#This Row],[Customer Gender]]="F","Female", orders[[#This Row],[Customer Gender]]="O","Other", TRUE,"Unknown")</f>
        <v>Female</v>
      </c>
    </row>
    <row r="1998" spans="1:15" x14ac:dyDescent="0.3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f t="array" ref="O1998">_xlfn.IFS(orders[[#This Row],[Customer Gender]]="M","Male", orders[[#This Row],[Customer Gender]]="F","Female", orders[[#This Row],[Customer Gender]]="O","Other", TRUE,"Unknown")</f>
        <v>Female</v>
      </c>
    </row>
    <row r="1999" spans="1:15" x14ac:dyDescent="0.3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f t="array" ref="O1999">_xlfn.IFS(orders[[#This Row],[Customer Gender]]="M","Male", orders[[#This Row],[Customer Gender]]="F","Female", orders[[#This Row],[Customer Gender]]="O","Other", TRUE,"Unknown")</f>
        <v>Male</v>
      </c>
    </row>
    <row r="2000" spans="1:15" x14ac:dyDescent="0.3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f t="array" ref="O2000">_xlfn.IFS(orders[[#This Row],[Customer Gender]]="M","Male", orders[[#This Row],[Customer Gender]]="F","Female", orders[[#This Row],[Customer Gender]]="O","Other", TRUE,"Unknown")</f>
        <v>Male</v>
      </c>
    </row>
    <row r="2001" spans="1:15" x14ac:dyDescent="0.3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f t="array" ref="O2001">_xlfn.IFS(orders[[#This Row],[Customer Gender]]="M","Male", orders[[#This Row],[Customer Gender]]="F","Female", orders[[#This Row],[Customer Gender]]="O","Other", TRUE,"Unknown")</f>
        <v>Male</v>
      </c>
    </row>
    <row r="2002" spans="1:15" x14ac:dyDescent="0.3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f t="array" ref="O2002">_xlfn.IFS(orders[[#This Row],[Customer Gender]]="M","Male", orders[[#This Row],[Customer Gender]]="F","Female", orders[[#This Row],[Customer Gender]]="O","Other", TRUE,"Unknown")</f>
        <v>Female</v>
      </c>
    </row>
    <row r="2003" spans="1:15" x14ac:dyDescent="0.3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f t="array" ref="O2003">_xlfn.IFS(orders[[#This Row],[Customer Gender]]="M","Male", orders[[#This Row],[Customer Gender]]="F","Female", orders[[#This Row],[Customer Gender]]="O","Other", TRUE,"Unknown")</f>
        <v>Male</v>
      </c>
    </row>
    <row r="2004" spans="1:15" x14ac:dyDescent="0.3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f t="array" ref="O2004">_xlfn.IFS(orders[[#This Row],[Customer Gender]]="M","Male", orders[[#This Row],[Customer Gender]]="F","Female", orders[[#This Row],[Customer Gender]]="O","Other", TRUE,"Unknown")</f>
        <v>Other</v>
      </c>
    </row>
    <row r="2005" spans="1:15" x14ac:dyDescent="0.3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f t="array" ref="O2005">_xlfn.IFS(orders[[#This Row],[Customer Gender]]="M","Male", orders[[#This Row],[Customer Gender]]="F","Female", orders[[#This Row],[Customer Gender]]="O","Other", TRUE,"Unknown")</f>
        <v>Unknown</v>
      </c>
    </row>
    <row r="2006" spans="1:15" x14ac:dyDescent="0.3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f t="array" ref="O2006">_xlfn.IFS(orders[[#This Row],[Customer Gender]]="M","Male", orders[[#This Row],[Customer Gender]]="F","Female", orders[[#This Row],[Customer Gender]]="O","Other", TRUE,"Unknown")</f>
        <v>Female</v>
      </c>
    </row>
    <row r="2007" spans="1:15" x14ac:dyDescent="0.3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f t="array" ref="O2007">_xlfn.IFS(orders[[#This Row],[Customer Gender]]="M","Male", orders[[#This Row],[Customer Gender]]="F","Female", orders[[#This Row],[Customer Gender]]="O","Other", TRUE,"Unknown")</f>
        <v>Unknown</v>
      </c>
    </row>
    <row r="2008" spans="1:15" x14ac:dyDescent="0.3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f t="array" ref="O2008">_xlfn.IFS(orders[[#This Row],[Customer Gender]]="M","Male", orders[[#This Row],[Customer Gender]]="F","Female", orders[[#This Row],[Customer Gender]]="O","Other", TRUE,"Unknown")</f>
        <v>Male</v>
      </c>
    </row>
    <row r="2009" spans="1:15" x14ac:dyDescent="0.3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f t="array" ref="O2009">_xlfn.IFS(orders[[#This Row],[Customer Gender]]="M","Male", orders[[#This Row],[Customer Gender]]="F","Female", orders[[#This Row],[Customer Gender]]="O","Other", TRUE,"Unknown")</f>
        <v>Male</v>
      </c>
    </row>
    <row r="2010" spans="1:15" x14ac:dyDescent="0.3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f t="array" ref="O2010">_xlfn.IFS(orders[[#This Row],[Customer Gender]]="M","Male", orders[[#This Row],[Customer Gender]]="F","Female", orders[[#This Row],[Customer Gender]]="O","Other", TRUE,"Unknown")</f>
        <v>Female</v>
      </c>
    </row>
    <row r="2011" spans="1:15" x14ac:dyDescent="0.3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f t="array" ref="O2011">_xlfn.IFS(orders[[#This Row],[Customer Gender]]="M","Male", orders[[#This Row],[Customer Gender]]="F","Female", orders[[#This Row],[Customer Gender]]="O","Other", TRUE,"Unknown")</f>
        <v>Female</v>
      </c>
    </row>
    <row r="2012" spans="1:15" x14ac:dyDescent="0.3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f t="array" ref="O2012">_xlfn.IFS(orders[[#This Row],[Customer Gender]]="M","Male", orders[[#This Row],[Customer Gender]]="F","Female", orders[[#This Row],[Customer Gender]]="O","Other", TRUE,"Unknown")</f>
        <v>Female</v>
      </c>
    </row>
    <row r="2013" spans="1:15" x14ac:dyDescent="0.3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f t="array" ref="O2013">_xlfn.IFS(orders[[#This Row],[Customer Gender]]="M","Male", orders[[#This Row],[Customer Gender]]="F","Female", orders[[#This Row],[Customer Gender]]="O","Other", TRUE,"Unknown")</f>
        <v>Female</v>
      </c>
    </row>
    <row r="2014" spans="1:15" x14ac:dyDescent="0.3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f t="array" ref="O2014">_xlfn.IFS(orders[[#This Row],[Customer Gender]]="M","Male", orders[[#This Row],[Customer Gender]]="F","Female", orders[[#This Row],[Customer Gender]]="O","Other", TRUE,"Unknown")</f>
        <v>Male</v>
      </c>
    </row>
    <row r="2015" spans="1:15" x14ac:dyDescent="0.3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f t="array" ref="O2015">_xlfn.IFS(orders[[#This Row],[Customer Gender]]="M","Male", orders[[#This Row],[Customer Gender]]="F","Female", orders[[#This Row],[Customer Gender]]="O","Other", TRUE,"Unknown")</f>
        <v>Unknown</v>
      </c>
    </row>
    <row r="2016" spans="1:15" x14ac:dyDescent="0.3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f t="array" ref="O2016">_xlfn.IFS(orders[[#This Row],[Customer Gender]]="M","Male", orders[[#This Row],[Customer Gender]]="F","Female", orders[[#This Row],[Customer Gender]]="O","Other", TRUE,"Unknown")</f>
        <v>Male</v>
      </c>
    </row>
    <row r="2017" spans="1:15" x14ac:dyDescent="0.3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f t="array" ref="O2017">_xlfn.IFS(orders[[#This Row],[Customer Gender]]="M","Male", orders[[#This Row],[Customer Gender]]="F","Female", orders[[#This Row],[Customer Gender]]="O","Other", TRUE,"Unknown")</f>
        <v>Unknown</v>
      </c>
    </row>
    <row r="2018" spans="1:15" x14ac:dyDescent="0.3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f t="array" ref="O2018">_xlfn.IFS(orders[[#This Row],[Customer Gender]]="M","Male", orders[[#This Row],[Customer Gender]]="F","Female", orders[[#This Row],[Customer Gender]]="O","Other", TRUE,"Unknown")</f>
        <v>Female</v>
      </c>
    </row>
    <row r="2019" spans="1:15" x14ac:dyDescent="0.3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f t="array" ref="O2019">_xlfn.IFS(orders[[#This Row],[Customer Gender]]="M","Male", orders[[#This Row],[Customer Gender]]="F","Female", orders[[#This Row],[Customer Gender]]="O","Other", TRUE,"Unknown")</f>
        <v>Male</v>
      </c>
    </row>
    <row r="2020" spans="1:15" x14ac:dyDescent="0.3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f t="array" ref="O2020">_xlfn.IFS(orders[[#This Row],[Customer Gender]]="M","Male", orders[[#This Row],[Customer Gender]]="F","Female", orders[[#This Row],[Customer Gender]]="O","Other", TRUE,"Unknown")</f>
        <v>Female</v>
      </c>
    </row>
    <row r="2021" spans="1:15" x14ac:dyDescent="0.3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f t="array" ref="O2021">_xlfn.IFS(orders[[#This Row],[Customer Gender]]="M","Male", orders[[#This Row],[Customer Gender]]="F","Female", orders[[#This Row],[Customer Gender]]="O","Other", TRUE,"Unknown")</f>
        <v>Unknown</v>
      </c>
    </row>
    <row r="2022" spans="1:15" x14ac:dyDescent="0.3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f t="array" ref="O2022">_xlfn.IFS(orders[[#This Row],[Customer Gender]]="M","Male", orders[[#This Row],[Customer Gender]]="F","Female", orders[[#This Row],[Customer Gender]]="O","Other", TRUE,"Unknown")</f>
        <v>Female</v>
      </c>
    </row>
    <row r="2023" spans="1:15" x14ac:dyDescent="0.3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f t="array" ref="O2023">_xlfn.IFS(orders[[#This Row],[Customer Gender]]="M","Male", orders[[#This Row],[Customer Gender]]="F","Female", orders[[#This Row],[Customer Gender]]="O","Other", TRUE,"Unknown")</f>
        <v>Male</v>
      </c>
    </row>
    <row r="2024" spans="1:15" x14ac:dyDescent="0.3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f t="array" ref="O2024">_xlfn.IFS(orders[[#This Row],[Customer Gender]]="M","Male", orders[[#This Row],[Customer Gender]]="F","Female", orders[[#This Row],[Customer Gender]]="O","Other", TRUE,"Unknown")</f>
        <v>Other</v>
      </c>
    </row>
    <row r="2025" spans="1:15" x14ac:dyDescent="0.3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f t="array" ref="O2025">_xlfn.IFS(orders[[#This Row],[Customer Gender]]="M","Male", orders[[#This Row],[Customer Gender]]="F","Female", orders[[#This Row],[Customer Gender]]="O","Other", TRUE,"Unknown")</f>
        <v>Female</v>
      </c>
    </row>
    <row r="2026" spans="1:15" x14ac:dyDescent="0.3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f t="array" ref="O2026">_xlfn.IFS(orders[[#This Row],[Customer Gender]]="M","Male", orders[[#This Row],[Customer Gender]]="F","Female", orders[[#This Row],[Customer Gender]]="O","Other", TRUE,"Unknown")</f>
        <v>Male</v>
      </c>
    </row>
    <row r="2027" spans="1:15" x14ac:dyDescent="0.3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f t="array" ref="O2027">_xlfn.IFS(orders[[#This Row],[Customer Gender]]="M","Male", orders[[#This Row],[Customer Gender]]="F","Female", orders[[#This Row],[Customer Gender]]="O","Other", TRUE,"Unknown")</f>
        <v>Male</v>
      </c>
    </row>
    <row r="2028" spans="1:15" x14ac:dyDescent="0.3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f t="array" ref="O2028">_xlfn.IFS(orders[[#This Row],[Customer Gender]]="M","Male", orders[[#This Row],[Customer Gender]]="F","Female", orders[[#This Row],[Customer Gender]]="O","Other", TRUE,"Unknown")</f>
        <v>Female</v>
      </c>
    </row>
    <row r="2029" spans="1:15" x14ac:dyDescent="0.3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f t="array" ref="O2029">_xlfn.IFS(orders[[#This Row],[Customer Gender]]="M","Male", orders[[#This Row],[Customer Gender]]="F","Female", orders[[#This Row],[Customer Gender]]="O","Other", TRUE,"Unknown")</f>
        <v>Female</v>
      </c>
    </row>
    <row r="2030" spans="1:15" x14ac:dyDescent="0.3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f t="array" ref="O2030">_xlfn.IFS(orders[[#This Row],[Customer Gender]]="M","Male", orders[[#This Row],[Customer Gender]]="F","Female", orders[[#This Row],[Customer Gender]]="O","Other", TRUE,"Unknown")</f>
        <v>Male</v>
      </c>
    </row>
    <row r="2031" spans="1:15" x14ac:dyDescent="0.3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f t="array" ref="O2031">_xlfn.IFS(orders[[#This Row],[Customer Gender]]="M","Male", orders[[#This Row],[Customer Gender]]="F","Female", orders[[#This Row],[Customer Gender]]="O","Other", TRUE,"Unknown")</f>
        <v>Female</v>
      </c>
    </row>
    <row r="2032" spans="1:15" x14ac:dyDescent="0.3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f t="array" ref="O2032">_xlfn.IFS(orders[[#This Row],[Customer Gender]]="M","Male", orders[[#This Row],[Customer Gender]]="F","Female", orders[[#This Row],[Customer Gender]]="O","Other", TRUE,"Unknown")</f>
        <v>Female</v>
      </c>
    </row>
    <row r="2033" spans="1:15" x14ac:dyDescent="0.3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f t="array" ref="O2033">_xlfn.IFS(orders[[#This Row],[Customer Gender]]="M","Male", orders[[#This Row],[Customer Gender]]="F","Female", orders[[#This Row],[Customer Gender]]="O","Other", TRUE,"Unknown")</f>
        <v>Male</v>
      </c>
    </row>
    <row r="2034" spans="1:15" x14ac:dyDescent="0.3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f t="array" ref="O2034">_xlfn.IFS(orders[[#This Row],[Customer Gender]]="M","Male", orders[[#This Row],[Customer Gender]]="F","Female", orders[[#This Row],[Customer Gender]]="O","Other", TRUE,"Unknown")</f>
        <v>Male</v>
      </c>
    </row>
    <row r="2035" spans="1:15" x14ac:dyDescent="0.3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f t="array" ref="O2035">_xlfn.IFS(orders[[#This Row],[Customer Gender]]="M","Male", orders[[#This Row],[Customer Gender]]="F","Female", orders[[#This Row],[Customer Gender]]="O","Other", TRUE,"Unknown")</f>
        <v>Female</v>
      </c>
    </row>
    <row r="2036" spans="1:15" x14ac:dyDescent="0.3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f t="array" ref="O2036">_xlfn.IFS(orders[[#This Row],[Customer Gender]]="M","Male", orders[[#This Row],[Customer Gender]]="F","Female", orders[[#This Row],[Customer Gender]]="O","Other", TRUE,"Unknown")</f>
        <v>Female</v>
      </c>
    </row>
    <row r="2037" spans="1:15" x14ac:dyDescent="0.3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f t="array" ref="O2037">_xlfn.IFS(orders[[#This Row],[Customer Gender]]="M","Male", orders[[#This Row],[Customer Gender]]="F","Female", orders[[#This Row],[Customer Gender]]="O","Other", TRUE,"Unknown")</f>
        <v>Female</v>
      </c>
    </row>
    <row r="2038" spans="1:15" x14ac:dyDescent="0.3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f t="array" ref="O2038">_xlfn.IFS(orders[[#This Row],[Customer Gender]]="M","Male", orders[[#This Row],[Customer Gender]]="F","Female", orders[[#This Row],[Customer Gender]]="O","Other", TRUE,"Unknown")</f>
        <v>Male</v>
      </c>
    </row>
    <row r="2039" spans="1:15" x14ac:dyDescent="0.3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f t="array" ref="O2039">_xlfn.IFS(orders[[#This Row],[Customer Gender]]="M","Male", orders[[#This Row],[Customer Gender]]="F","Female", orders[[#This Row],[Customer Gender]]="O","Other", TRUE,"Unknown")</f>
        <v>Male</v>
      </c>
    </row>
    <row r="2040" spans="1:15" x14ac:dyDescent="0.3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f t="array" ref="O2040">_xlfn.IFS(orders[[#This Row],[Customer Gender]]="M","Male", orders[[#This Row],[Customer Gender]]="F","Female", orders[[#This Row],[Customer Gender]]="O","Other", TRUE,"Unknown")</f>
        <v>Male</v>
      </c>
    </row>
    <row r="2041" spans="1:15" x14ac:dyDescent="0.3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f t="array" ref="O2041">_xlfn.IFS(orders[[#This Row],[Customer Gender]]="M","Male", orders[[#This Row],[Customer Gender]]="F","Female", orders[[#This Row],[Customer Gender]]="O","Other", TRUE,"Unknown")</f>
        <v>Male</v>
      </c>
    </row>
    <row r="2042" spans="1:15" x14ac:dyDescent="0.3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f t="array" ref="O2042">_xlfn.IFS(orders[[#This Row],[Customer Gender]]="M","Male", orders[[#This Row],[Customer Gender]]="F","Female", orders[[#This Row],[Customer Gender]]="O","Other", TRUE,"Unknown")</f>
        <v>Male</v>
      </c>
    </row>
    <row r="2043" spans="1:15" x14ac:dyDescent="0.3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f t="array" ref="O2043">_xlfn.IFS(orders[[#This Row],[Customer Gender]]="M","Male", orders[[#This Row],[Customer Gender]]="F","Female", orders[[#This Row],[Customer Gender]]="O","Other", TRUE,"Unknown")</f>
        <v>Male</v>
      </c>
    </row>
    <row r="2044" spans="1:15" x14ac:dyDescent="0.3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f t="array" ref="O2044">_xlfn.IFS(orders[[#This Row],[Customer Gender]]="M","Male", orders[[#This Row],[Customer Gender]]="F","Female", orders[[#This Row],[Customer Gender]]="O","Other", TRUE,"Unknown")</f>
        <v>Female</v>
      </c>
    </row>
    <row r="2045" spans="1:15" x14ac:dyDescent="0.3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f t="array" ref="O2045">_xlfn.IFS(orders[[#This Row],[Customer Gender]]="M","Male", orders[[#This Row],[Customer Gender]]="F","Female", orders[[#This Row],[Customer Gender]]="O","Other", TRUE,"Unknown")</f>
        <v>Female</v>
      </c>
    </row>
    <row r="2046" spans="1:15" x14ac:dyDescent="0.3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f t="array" ref="O2046">_xlfn.IFS(orders[[#This Row],[Customer Gender]]="M","Male", orders[[#This Row],[Customer Gender]]="F","Female", orders[[#This Row],[Customer Gender]]="O","Other", TRUE,"Unknown")</f>
        <v>Male</v>
      </c>
    </row>
    <row r="2047" spans="1:15" x14ac:dyDescent="0.3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f t="array" ref="O2047">_xlfn.IFS(orders[[#This Row],[Customer Gender]]="M","Male", orders[[#This Row],[Customer Gender]]="F","Female", orders[[#This Row],[Customer Gender]]="O","Other", TRUE,"Unknown")</f>
        <v>Female</v>
      </c>
    </row>
    <row r="2048" spans="1:15" x14ac:dyDescent="0.3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f t="array" ref="O2048">_xlfn.IFS(orders[[#This Row],[Customer Gender]]="M","Male", orders[[#This Row],[Customer Gender]]="F","Female", orders[[#This Row],[Customer Gender]]="O","Other", TRUE,"Unknown")</f>
        <v>Female</v>
      </c>
    </row>
    <row r="2049" spans="1:15" x14ac:dyDescent="0.3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f t="array" ref="O2049">_xlfn.IFS(orders[[#This Row],[Customer Gender]]="M","Male", orders[[#This Row],[Customer Gender]]="F","Female", orders[[#This Row],[Customer Gender]]="O","Other", TRUE,"Unknown")</f>
        <v>Male</v>
      </c>
    </row>
    <row r="2050" spans="1:15" x14ac:dyDescent="0.3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f t="array" ref="O2050">_xlfn.IFS(orders[[#This Row],[Customer Gender]]="M","Male", orders[[#This Row],[Customer Gender]]="F","Female", orders[[#This Row],[Customer Gender]]="O","Other", TRUE,"Unknown")</f>
        <v>Female</v>
      </c>
    </row>
    <row r="2051" spans="1:15" x14ac:dyDescent="0.3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f t="array" ref="O2051">_xlfn.IFS(orders[[#This Row],[Customer Gender]]="M","Male", orders[[#This Row],[Customer Gender]]="F","Female", orders[[#This Row],[Customer Gender]]="O","Other", TRUE,"Unknown")</f>
        <v>Female</v>
      </c>
    </row>
    <row r="2052" spans="1:15" x14ac:dyDescent="0.3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f t="array" ref="O2052">_xlfn.IFS(orders[[#This Row],[Customer Gender]]="M","Male", orders[[#This Row],[Customer Gender]]="F","Female", orders[[#This Row],[Customer Gender]]="O","Other", TRUE,"Unknown")</f>
        <v>Female</v>
      </c>
    </row>
    <row r="2053" spans="1:15" x14ac:dyDescent="0.3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f t="array" ref="O2053">_xlfn.IFS(orders[[#This Row],[Customer Gender]]="M","Male", orders[[#This Row],[Customer Gender]]="F","Female", orders[[#This Row],[Customer Gender]]="O","Other", TRUE,"Unknown")</f>
        <v>Male</v>
      </c>
    </row>
    <row r="2054" spans="1:15" x14ac:dyDescent="0.3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f t="array" ref="O2054">_xlfn.IFS(orders[[#This Row],[Customer Gender]]="M","Male", orders[[#This Row],[Customer Gender]]="F","Female", orders[[#This Row],[Customer Gender]]="O","Other", TRUE,"Unknown")</f>
        <v>Male</v>
      </c>
    </row>
    <row r="2055" spans="1:15" x14ac:dyDescent="0.3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f t="array" ref="O2055">_xlfn.IFS(orders[[#This Row],[Customer Gender]]="M","Male", orders[[#This Row],[Customer Gender]]="F","Female", orders[[#This Row],[Customer Gender]]="O","Other", TRUE,"Unknown")</f>
        <v>Female</v>
      </c>
    </row>
    <row r="2056" spans="1:15" x14ac:dyDescent="0.3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f t="array" ref="O2056">_xlfn.IFS(orders[[#This Row],[Customer Gender]]="M","Male", orders[[#This Row],[Customer Gender]]="F","Female", orders[[#This Row],[Customer Gender]]="O","Other", TRUE,"Unknown")</f>
        <v>Female</v>
      </c>
    </row>
    <row r="2057" spans="1:15" x14ac:dyDescent="0.3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f t="array" ref="O2057">_xlfn.IFS(orders[[#This Row],[Customer Gender]]="M","Male", orders[[#This Row],[Customer Gender]]="F","Female", orders[[#This Row],[Customer Gender]]="O","Other", TRUE,"Unknown")</f>
        <v>Male</v>
      </c>
    </row>
    <row r="2058" spans="1:15" x14ac:dyDescent="0.3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f t="array" ref="O2058">_xlfn.IFS(orders[[#This Row],[Customer Gender]]="M","Male", orders[[#This Row],[Customer Gender]]="F","Female", orders[[#This Row],[Customer Gender]]="O","Other", TRUE,"Unknown")</f>
        <v>Female</v>
      </c>
    </row>
    <row r="2059" spans="1:15" x14ac:dyDescent="0.3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f t="array" ref="O2059">_xlfn.IFS(orders[[#This Row],[Customer Gender]]="M","Male", orders[[#This Row],[Customer Gender]]="F","Female", orders[[#This Row],[Customer Gender]]="O","Other", TRUE,"Unknown")</f>
        <v>Female</v>
      </c>
    </row>
    <row r="2060" spans="1:15" x14ac:dyDescent="0.3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f t="array" ref="O2060">_xlfn.IFS(orders[[#This Row],[Customer Gender]]="M","Male", orders[[#This Row],[Customer Gender]]="F","Female", orders[[#This Row],[Customer Gender]]="O","Other", TRUE,"Unknown")</f>
        <v>Male</v>
      </c>
    </row>
    <row r="2061" spans="1:15" x14ac:dyDescent="0.3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f t="array" ref="O2061">_xlfn.IFS(orders[[#This Row],[Customer Gender]]="M","Male", orders[[#This Row],[Customer Gender]]="F","Female", orders[[#This Row],[Customer Gender]]="O","Other", TRUE,"Unknown")</f>
        <v>Male</v>
      </c>
    </row>
    <row r="2062" spans="1:15" x14ac:dyDescent="0.3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f t="array" ref="O2062">_xlfn.IFS(orders[[#This Row],[Customer Gender]]="M","Male", orders[[#This Row],[Customer Gender]]="F","Female", orders[[#This Row],[Customer Gender]]="O","Other", TRUE,"Unknown")</f>
        <v>Female</v>
      </c>
    </row>
    <row r="2063" spans="1:15" x14ac:dyDescent="0.3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f t="array" ref="O2063">_xlfn.IFS(orders[[#This Row],[Customer Gender]]="M","Male", orders[[#This Row],[Customer Gender]]="F","Female", orders[[#This Row],[Customer Gender]]="O","Other", TRUE,"Unknown")</f>
        <v>Female</v>
      </c>
    </row>
    <row r="2064" spans="1:15" x14ac:dyDescent="0.3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f t="array" ref="O2064">_xlfn.IFS(orders[[#This Row],[Customer Gender]]="M","Male", orders[[#This Row],[Customer Gender]]="F","Female", orders[[#This Row],[Customer Gender]]="O","Other", TRUE,"Unknown")</f>
        <v>Female</v>
      </c>
    </row>
    <row r="2065" spans="1:15" x14ac:dyDescent="0.3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f t="array" ref="O2065">_xlfn.IFS(orders[[#This Row],[Customer Gender]]="M","Male", orders[[#This Row],[Customer Gender]]="F","Female", orders[[#This Row],[Customer Gender]]="O","Other", TRUE,"Unknown")</f>
        <v>Female</v>
      </c>
    </row>
    <row r="2066" spans="1:15" x14ac:dyDescent="0.3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f t="array" ref="O2066">_xlfn.IFS(orders[[#This Row],[Customer Gender]]="M","Male", orders[[#This Row],[Customer Gender]]="F","Female", orders[[#This Row],[Customer Gender]]="O","Other", TRUE,"Unknown")</f>
        <v>Male</v>
      </c>
    </row>
    <row r="2067" spans="1:15" x14ac:dyDescent="0.3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f t="array" ref="O2067">_xlfn.IFS(orders[[#This Row],[Customer Gender]]="M","Male", orders[[#This Row],[Customer Gender]]="F","Female", orders[[#This Row],[Customer Gender]]="O","Other", TRUE,"Unknown")</f>
        <v>Male</v>
      </c>
    </row>
    <row r="2068" spans="1:15" x14ac:dyDescent="0.3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f t="array" ref="O2068">_xlfn.IFS(orders[[#This Row],[Customer Gender]]="M","Male", orders[[#This Row],[Customer Gender]]="F","Female", orders[[#This Row],[Customer Gender]]="O","Other", TRUE,"Unknown")</f>
        <v>Female</v>
      </c>
    </row>
    <row r="2069" spans="1:15" x14ac:dyDescent="0.3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f t="array" ref="O2069">_xlfn.IFS(orders[[#This Row],[Customer Gender]]="M","Male", orders[[#This Row],[Customer Gender]]="F","Female", orders[[#This Row],[Customer Gender]]="O","Other", TRUE,"Unknown")</f>
        <v>Female</v>
      </c>
    </row>
    <row r="2070" spans="1:15" x14ac:dyDescent="0.3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f t="array" ref="O2070">_xlfn.IFS(orders[[#This Row],[Customer Gender]]="M","Male", orders[[#This Row],[Customer Gender]]="F","Female", orders[[#This Row],[Customer Gender]]="O","Other", TRUE,"Unknown")</f>
        <v>Male</v>
      </c>
    </row>
    <row r="2071" spans="1:15" x14ac:dyDescent="0.3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f t="array" ref="O2071">_xlfn.IFS(orders[[#This Row],[Customer Gender]]="M","Male", orders[[#This Row],[Customer Gender]]="F","Female", orders[[#This Row],[Customer Gender]]="O","Other", TRUE,"Unknown")</f>
        <v>Female</v>
      </c>
    </row>
    <row r="2072" spans="1:15" x14ac:dyDescent="0.3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f t="array" ref="O2072">_xlfn.IFS(orders[[#This Row],[Customer Gender]]="M","Male", orders[[#This Row],[Customer Gender]]="F","Female", orders[[#This Row],[Customer Gender]]="O","Other", TRUE,"Unknown")</f>
        <v>Male</v>
      </c>
    </row>
    <row r="2073" spans="1:15" x14ac:dyDescent="0.3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f t="array" ref="O2073">_xlfn.IFS(orders[[#This Row],[Customer Gender]]="M","Male", orders[[#This Row],[Customer Gender]]="F","Female", orders[[#This Row],[Customer Gender]]="O","Other", TRUE,"Unknown")</f>
        <v>Male</v>
      </c>
    </row>
    <row r="2074" spans="1:15" x14ac:dyDescent="0.3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f t="array" ref="O2074">_xlfn.IFS(orders[[#This Row],[Customer Gender]]="M","Male", orders[[#This Row],[Customer Gender]]="F","Female", orders[[#This Row],[Customer Gender]]="O","Other", TRUE,"Unknown")</f>
        <v>Male</v>
      </c>
    </row>
    <row r="2075" spans="1:15" x14ac:dyDescent="0.3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f t="array" ref="O2075">_xlfn.IFS(orders[[#This Row],[Customer Gender]]="M","Male", orders[[#This Row],[Customer Gender]]="F","Female", orders[[#This Row],[Customer Gender]]="O","Other", TRUE,"Unknown")</f>
        <v>Female</v>
      </c>
    </row>
    <row r="2076" spans="1:15" x14ac:dyDescent="0.3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f t="array" ref="O2076">_xlfn.IFS(orders[[#This Row],[Customer Gender]]="M","Male", orders[[#This Row],[Customer Gender]]="F","Female", orders[[#This Row],[Customer Gender]]="O","Other", TRUE,"Unknown")</f>
        <v>Female</v>
      </c>
    </row>
    <row r="2077" spans="1:15" x14ac:dyDescent="0.3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f t="array" ref="O2077">_xlfn.IFS(orders[[#This Row],[Customer Gender]]="M","Male", orders[[#This Row],[Customer Gender]]="F","Female", orders[[#This Row],[Customer Gender]]="O","Other", TRUE,"Unknown")</f>
        <v>Male</v>
      </c>
    </row>
    <row r="2078" spans="1:15" x14ac:dyDescent="0.3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f t="array" ref="O2078">_xlfn.IFS(orders[[#This Row],[Customer Gender]]="M","Male", orders[[#This Row],[Customer Gender]]="F","Female", orders[[#This Row],[Customer Gender]]="O","Other", TRUE,"Unknown")</f>
        <v>Female</v>
      </c>
    </row>
    <row r="2079" spans="1:15" x14ac:dyDescent="0.3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f t="array" ref="O2079">_xlfn.IFS(orders[[#This Row],[Customer Gender]]="M","Male", orders[[#This Row],[Customer Gender]]="F","Female", orders[[#This Row],[Customer Gender]]="O","Other", TRUE,"Unknown")</f>
        <v>Male</v>
      </c>
    </row>
    <row r="2080" spans="1:15" x14ac:dyDescent="0.3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f t="array" ref="O2080">_xlfn.IFS(orders[[#This Row],[Customer Gender]]="M","Male", orders[[#This Row],[Customer Gender]]="F","Female", orders[[#This Row],[Customer Gender]]="O","Other", TRUE,"Unknown")</f>
        <v>Female</v>
      </c>
    </row>
    <row r="2081" spans="1:15" x14ac:dyDescent="0.3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f t="array" ref="O2081">_xlfn.IFS(orders[[#This Row],[Customer Gender]]="M","Male", orders[[#This Row],[Customer Gender]]="F","Female", orders[[#This Row],[Customer Gender]]="O","Other", TRUE,"Unknown")</f>
        <v>Male</v>
      </c>
    </row>
    <row r="2082" spans="1:15" x14ac:dyDescent="0.3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f t="array" ref="O2082">_xlfn.IFS(orders[[#This Row],[Customer Gender]]="M","Male", orders[[#This Row],[Customer Gender]]="F","Female", orders[[#This Row],[Customer Gender]]="O","Other", TRUE,"Unknown")</f>
        <v>Male</v>
      </c>
    </row>
    <row r="2083" spans="1:15" x14ac:dyDescent="0.3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f t="array" ref="O2083">_xlfn.IFS(orders[[#This Row],[Customer Gender]]="M","Male", orders[[#This Row],[Customer Gender]]="F","Female", orders[[#This Row],[Customer Gender]]="O","Other", TRUE,"Unknown")</f>
        <v>Female</v>
      </c>
    </row>
    <row r="2084" spans="1:15" x14ac:dyDescent="0.3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f t="array" ref="O2084">_xlfn.IFS(orders[[#This Row],[Customer Gender]]="M","Male", orders[[#This Row],[Customer Gender]]="F","Female", orders[[#This Row],[Customer Gender]]="O","Other", TRUE,"Unknown")</f>
        <v>Other</v>
      </c>
    </row>
    <row r="2085" spans="1:15" x14ac:dyDescent="0.3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f t="array" ref="O2085">_xlfn.IFS(orders[[#This Row],[Customer Gender]]="M","Male", orders[[#This Row],[Customer Gender]]="F","Female", orders[[#This Row],[Customer Gender]]="O","Other", TRUE,"Unknown")</f>
        <v>Female</v>
      </c>
    </row>
    <row r="2086" spans="1:15" x14ac:dyDescent="0.3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f t="array" ref="O2086">_xlfn.IFS(orders[[#This Row],[Customer Gender]]="M","Male", orders[[#This Row],[Customer Gender]]="F","Female", orders[[#This Row],[Customer Gender]]="O","Other", TRUE,"Unknown")</f>
        <v>Female</v>
      </c>
    </row>
    <row r="2087" spans="1:15" x14ac:dyDescent="0.3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f t="array" ref="O2087">_xlfn.IFS(orders[[#This Row],[Customer Gender]]="M","Male", orders[[#This Row],[Customer Gender]]="F","Female", orders[[#This Row],[Customer Gender]]="O","Other", TRUE,"Unknown")</f>
        <v>Female</v>
      </c>
    </row>
    <row r="2088" spans="1:15" x14ac:dyDescent="0.3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f t="array" ref="O2088">_xlfn.IFS(orders[[#This Row],[Customer Gender]]="M","Male", orders[[#This Row],[Customer Gender]]="F","Female", orders[[#This Row],[Customer Gender]]="O","Other", TRUE,"Unknown")</f>
        <v>Female</v>
      </c>
    </row>
    <row r="2089" spans="1:15" x14ac:dyDescent="0.3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f t="array" ref="O2089">_xlfn.IFS(orders[[#This Row],[Customer Gender]]="M","Male", orders[[#This Row],[Customer Gender]]="F","Female", orders[[#This Row],[Customer Gender]]="O","Other", TRUE,"Unknown")</f>
        <v>Male</v>
      </c>
    </row>
    <row r="2090" spans="1:15" x14ac:dyDescent="0.3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f t="array" ref="O2090">_xlfn.IFS(orders[[#This Row],[Customer Gender]]="M","Male", orders[[#This Row],[Customer Gender]]="F","Female", orders[[#This Row],[Customer Gender]]="O","Other", TRUE,"Unknown")</f>
        <v>Male</v>
      </c>
    </row>
    <row r="2091" spans="1:15" x14ac:dyDescent="0.3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f t="array" ref="O2091">_xlfn.IFS(orders[[#This Row],[Customer Gender]]="M","Male", orders[[#This Row],[Customer Gender]]="F","Female", orders[[#This Row],[Customer Gender]]="O","Other", TRUE,"Unknown")</f>
        <v>Male</v>
      </c>
    </row>
    <row r="2092" spans="1:15" x14ac:dyDescent="0.3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f t="array" ref="O2092">_xlfn.IFS(orders[[#This Row],[Customer Gender]]="M","Male", orders[[#This Row],[Customer Gender]]="F","Female", orders[[#This Row],[Customer Gender]]="O","Other", TRUE,"Unknown")</f>
        <v>Female</v>
      </c>
    </row>
    <row r="2093" spans="1:15" x14ac:dyDescent="0.3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f t="array" ref="O2093">_xlfn.IFS(orders[[#This Row],[Customer Gender]]="M","Male", orders[[#This Row],[Customer Gender]]="F","Female", orders[[#This Row],[Customer Gender]]="O","Other", TRUE,"Unknown")</f>
        <v>Male</v>
      </c>
    </row>
    <row r="2094" spans="1:15" x14ac:dyDescent="0.3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f t="array" ref="O2094">_xlfn.IFS(orders[[#This Row],[Customer Gender]]="M","Male", orders[[#This Row],[Customer Gender]]="F","Female", orders[[#This Row],[Customer Gender]]="O","Other", TRUE,"Unknown")</f>
        <v>Male</v>
      </c>
    </row>
    <row r="2095" spans="1:15" x14ac:dyDescent="0.3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f t="array" ref="O2095">_xlfn.IFS(orders[[#This Row],[Customer Gender]]="M","Male", orders[[#This Row],[Customer Gender]]="F","Female", orders[[#This Row],[Customer Gender]]="O","Other", TRUE,"Unknown")</f>
        <v>Male</v>
      </c>
    </row>
    <row r="2096" spans="1:15" x14ac:dyDescent="0.3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f t="array" ref="O2096">_xlfn.IFS(orders[[#This Row],[Customer Gender]]="M","Male", orders[[#This Row],[Customer Gender]]="F","Female", orders[[#This Row],[Customer Gender]]="O","Other", TRUE,"Unknown")</f>
        <v>Female</v>
      </c>
    </row>
    <row r="2097" spans="1:15" x14ac:dyDescent="0.3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f t="array" ref="O2097">_xlfn.IFS(orders[[#This Row],[Customer Gender]]="M","Male", orders[[#This Row],[Customer Gender]]="F","Female", orders[[#This Row],[Customer Gender]]="O","Other", TRUE,"Unknown")</f>
        <v>Male</v>
      </c>
    </row>
    <row r="2098" spans="1:15" x14ac:dyDescent="0.3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f t="array" ref="O2098">_xlfn.IFS(orders[[#This Row],[Customer Gender]]="M","Male", orders[[#This Row],[Customer Gender]]="F","Female", orders[[#This Row],[Customer Gender]]="O","Other", TRUE,"Unknown")</f>
        <v>Female</v>
      </c>
    </row>
    <row r="2099" spans="1:15" x14ac:dyDescent="0.3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f t="array" ref="O2099">_xlfn.IFS(orders[[#This Row],[Customer Gender]]="M","Male", orders[[#This Row],[Customer Gender]]="F","Female", orders[[#This Row],[Customer Gender]]="O","Other", TRUE,"Unknown")</f>
        <v>Male</v>
      </c>
    </row>
    <row r="2100" spans="1:15" x14ac:dyDescent="0.3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f t="array" ref="O2100">_xlfn.IFS(orders[[#This Row],[Customer Gender]]="M","Male", orders[[#This Row],[Customer Gender]]="F","Female", orders[[#This Row],[Customer Gender]]="O","Other", TRUE,"Unknown")</f>
        <v>Male</v>
      </c>
    </row>
    <row r="2101" spans="1:15" x14ac:dyDescent="0.3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f t="array" ref="O2101">_xlfn.IFS(orders[[#This Row],[Customer Gender]]="M","Male", orders[[#This Row],[Customer Gender]]="F","Female", orders[[#This Row],[Customer Gender]]="O","Other", TRUE,"Unknown")</f>
        <v>Male</v>
      </c>
    </row>
    <row r="2102" spans="1:15" x14ac:dyDescent="0.3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f t="array" ref="O2102">_xlfn.IFS(orders[[#This Row],[Customer Gender]]="M","Male", orders[[#This Row],[Customer Gender]]="F","Female", orders[[#This Row],[Customer Gender]]="O","Other", TRUE,"Unknown")</f>
        <v>Female</v>
      </c>
    </row>
    <row r="2103" spans="1:15" x14ac:dyDescent="0.3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f t="array" ref="O2103">_xlfn.IFS(orders[[#This Row],[Customer Gender]]="M","Male", orders[[#This Row],[Customer Gender]]="F","Female", orders[[#This Row],[Customer Gender]]="O","Other", TRUE,"Unknown")</f>
        <v>Male</v>
      </c>
    </row>
    <row r="2104" spans="1:15" x14ac:dyDescent="0.3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f t="array" ref="O2104">_xlfn.IFS(orders[[#This Row],[Customer Gender]]="M","Male", orders[[#This Row],[Customer Gender]]="F","Female", orders[[#This Row],[Customer Gender]]="O","Other", TRUE,"Unknown")</f>
        <v>Female</v>
      </c>
    </row>
    <row r="2105" spans="1:15" x14ac:dyDescent="0.3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f t="array" ref="O2105">_xlfn.IFS(orders[[#This Row],[Customer Gender]]="M","Male", orders[[#This Row],[Customer Gender]]="F","Female", orders[[#This Row],[Customer Gender]]="O","Other", TRUE,"Unknown")</f>
        <v>Female</v>
      </c>
    </row>
    <row r="2106" spans="1:15" x14ac:dyDescent="0.3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f t="array" ref="O2106">_xlfn.IFS(orders[[#This Row],[Customer Gender]]="M","Male", orders[[#This Row],[Customer Gender]]="F","Female", orders[[#This Row],[Customer Gender]]="O","Other", TRUE,"Unknown")</f>
        <v>Female</v>
      </c>
    </row>
    <row r="2107" spans="1:15" x14ac:dyDescent="0.3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f t="array" ref="O2107">_xlfn.IFS(orders[[#This Row],[Customer Gender]]="M","Male", orders[[#This Row],[Customer Gender]]="F","Female", orders[[#This Row],[Customer Gender]]="O","Other", TRUE,"Unknown")</f>
        <v>Female</v>
      </c>
    </row>
    <row r="2108" spans="1:15" x14ac:dyDescent="0.3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f t="array" ref="O2108">_xlfn.IFS(orders[[#This Row],[Customer Gender]]="M","Male", orders[[#This Row],[Customer Gender]]="F","Female", orders[[#This Row],[Customer Gender]]="O","Other", TRUE,"Unknown")</f>
        <v>Male</v>
      </c>
    </row>
    <row r="2109" spans="1:15" x14ac:dyDescent="0.3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f t="array" ref="O2109">_xlfn.IFS(orders[[#This Row],[Customer Gender]]="M","Male", orders[[#This Row],[Customer Gender]]="F","Female", orders[[#This Row],[Customer Gender]]="O","Other", TRUE,"Unknown")</f>
        <v>Female</v>
      </c>
    </row>
    <row r="2110" spans="1:15" x14ac:dyDescent="0.3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f t="array" ref="O2110">_xlfn.IFS(orders[[#This Row],[Customer Gender]]="M","Male", orders[[#This Row],[Customer Gender]]="F","Female", orders[[#This Row],[Customer Gender]]="O","Other", TRUE,"Unknown")</f>
        <v>Male</v>
      </c>
    </row>
    <row r="2111" spans="1:15" x14ac:dyDescent="0.3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f t="array" ref="O2111">_xlfn.IFS(orders[[#This Row],[Customer Gender]]="M","Male", orders[[#This Row],[Customer Gender]]="F","Female", orders[[#This Row],[Customer Gender]]="O","Other", TRUE,"Unknown")</f>
        <v>Male</v>
      </c>
    </row>
    <row r="2112" spans="1:15" x14ac:dyDescent="0.3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f t="array" ref="O2112">_xlfn.IFS(orders[[#This Row],[Customer Gender]]="M","Male", orders[[#This Row],[Customer Gender]]="F","Female", orders[[#This Row],[Customer Gender]]="O","Other", TRUE,"Unknown")</f>
        <v>Female</v>
      </c>
    </row>
    <row r="2113" spans="1:15" x14ac:dyDescent="0.3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f t="array" ref="O2113">_xlfn.IFS(orders[[#This Row],[Customer Gender]]="M","Male", orders[[#This Row],[Customer Gender]]="F","Female", orders[[#This Row],[Customer Gender]]="O","Other", TRUE,"Unknown")</f>
        <v>Other</v>
      </c>
    </row>
    <row r="2114" spans="1:15" x14ac:dyDescent="0.3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f t="array" ref="O2114">_xlfn.IFS(orders[[#This Row],[Customer Gender]]="M","Male", orders[[#This Row],[Customer Gender]]="F","Female", orders[[#This Row],[Customer Gender]]="O","Other", TRUE,"Unknown")</f>
        <v>Male</v>
      </c>
    </row>
    <row r="2115" spans="1:15" x14ac:dyDescent="0.3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f t="array" ref="O2115">_xlfn.IFS(orders[[#This Row],[Customer Gender]]="M","Male", orders[[#This Row],[Customer Gender]]="F","Female", orders[[#This Row],[Customer Gender]]="O","Other", TRUE,"Unknown")</f>
        <v>Female</v>
      </c>
    </row>
    <row r="2116" spans="1:15" x14ac:dyDescent="0.3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f t="array" ref="O2116">_xlfn.IFS(orders[[#This Row],[Customer Gender]]="M","Male", orders[[#This Row],[Customer Gender]]="F","Female", orders[[#This Row],[Customer Gender]]="O","Other", TRUE,"Unknown")</f>
        <v>Female</v>
      </c>
    </row>
    <row r="2117" spans="1:15" x14ac:dyDescent="0.3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f t="array" ref="O2117">_xlfn.IFS(orders[[#This Row],[Customer Gender]]="M","Male", orders[[#This Row],[Customer Gender]]="F","Female", orders[[#This Row],[Customer Gender]]="O","Other", TRUE,"Unknown")</f>
        <v>Female</v>
      </c>
    </row>
    <row r="2118" spans="1:15" x14ac:dyDescent="0.3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f t="array" ref="O2118">_xlfn.IFS(orders[[#This Row],[Customer Gender]]="M","Male", orders[[#This Row],[Customer Gender]]="F","Female", orders[[#This Row],[Customer Gender]]="O","Other", TRUE,"Unknown")</f>
        <v>Male</v>
      </c>
    </row>
    <row r="2119" spans="1:15" x14ac:dyDescent="0.3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f t="array" ref="O2119">_xlfn.IFS(orders[[#This Row],[Customer Gender]]="M","Male", orders[[#This Row],[Customer Gender]]="F","Female", orders[[#This Row],[Customer Gender]]="O","Other", TRUE,"Unknown")</f>
        <v>Male</v>
      </c>
    </row>
    <row r="2120" spans="1:15" x14ac:dyDescent="0.3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f t="array" ref="O2120">_xlfn.IFS(orders[[#This Row],[Customer Gender]]="M","Male", orders[[#This Row],[Customer Gender]]="F","Female", orders[[#This Row],[Customer Gender]]="O","Other", TRUE,"Unknown")</f>
        <v>Male</v>
      </c>
    </row>
    <row r="2121" spans="1:15" x14ac:dyDescent="0.3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f t="array" ref="O2121">_xlfn.IFS(orders[[#This Row],[Customer Gender]]="M","Male", orders[[#This Row],[Customer Gender]]="F","Female", orders[[#This Row],[Customer Gender]]="O","Other", TRUE,"Unknown")</f>
        <v>Male</v>
      </c>
    </row>
    <row r="2122" spans="1:15" x14ac:dyDescent="0.3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f t="array" ref="O2122">_xlfn.IFS(orders[[#This Row],[Customer Gender]]="M","Male", orders[[#This Row],[Customer Gender]]="F","Female", orders[[#This Row],[Customer Gender]]="O","Other", TRUE,"Unknown")</f>
        <v>Female</v>
      </c>
    </row>
    <row r="2123" spans="1:15" x14ac:dyDescent="0.3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f t="array" ref="O2123">_xlfn.IFS(orders[[#This Row],[Customer Gender]]="M","Male", orders[[#This Row],[Customer Gender]]="F","Female", orders[[#This Row],[Customer Gender]]="O","Other", TRUE,"Unknown")</f>
        <v>Female</v>
      </c>
    </row>
    <row r="2124" spans="1:15" x14ac:dyDescent="0.3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f t="array" ref="O2124">_xlfn.IFS(orders[[#This Row],[Customer Gender]]="M","Male", orders[[#This Row],[Customer Gender]]="F","Female", orders[[#This Row],[Customer Gender]]="O","Other", TRUE,"Unknown")</f>
        <v>Unknown</v>
      </c>
    </row>
    <row r="2125" spans="1:15" x14ac:dyDescent="0.3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f t="array" ref="O2125">_xlfn.IFS(orders[[#This Row],[Customer Gender]]="M","Male", orders[[#This Row],[Customer Gender]]="F","Female", orders[[#This Row],[Customer Gender]]="O","Other", TRUE,"Unknown")</f>
        <v>Male</v>
      </c>
    </row>
    <row r="2126" spans="1:15" x14ac:dyDescent="0.3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f t="array" ref="O2126">_xlfn.IFS(orders[[#This Row],[Customer Gender]]="M","Male", orders[[#This Row],[Customer Gender]]="F","Female", orders[[#This Row],[Customer Gender]]="O","Other", TRUE,"Unknown")</f>
        <v>Female</v>
      </c>
    </row>
    <row r="2127" spans="1:15" x14ac:dyDescent="0.3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f t="array" ref="O2127">_xlfn.IFS(orders[[#This Row],[Customer Gender]]="M","Male", orders[[#This Row],[Customer Gender]]="F","Female", orders[[#This Row],[Customer Gender]]="O","Other", TRUE,"Unknown")</f>
        <v>Female</v>
      </c>
    </row>
    <row r="2128" spans="1:15" x14ac:dyDescent="0.3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f t="array" ref="O2128">_xlfn.IFS(orders[[#This Row],[Customer Gender]]="M","Male", orders[[#This Row],[Customer Gender]]="F","Female", orders[[#This Row],[Customer Gender]]="O","Other", TRUE,"Unknown")</f>
        <v>Female</v>
      </c>
    </row>
    <row r="2129" spans="1:15" x14ac:dyDescent="0.3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f t="array" ref="O2129">_xlfn.IFS(orders[[#This Row],[Customer Gender]]="M","Male", orders[[#This Row],[Customer Gender]]="F","Female", orders[[#This Row],[Customer Gender]]="O","Other", TRUE,"Unknown")</f>
        <v>Female</v>
      </c>
    </row>
    <row r="2130" spans="1:15" x14ac:dyDescent="0.3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f t="array" ref="O2130">_xlfn.IFS(orders[[#This Row],[Customer Gender]]="M","Male", orders[[#This Row],[Customer Gender]]="F","Female", orders[[#This Row],[Customer Gender]]="O","Other", TRUE,"Unknown")</f>
        <v>Male</v>
      </c>
    </row>
    <row r="2131" spans="1:15" x14ac:dyDescent="0.3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f t="array" ref="O2131">_xlfn.IFS(orders[[#This Row],[Customer Gender]]="M","Male", orders[[#This Row],[Customer Gender]]="F","Female", orders[[#This Row],[Customer Gender]]="O","Other", TRUE,"Unknown")</f>
        <v>Female</v>
      </c>
    </row>
    <row r="2132" spans="1:15" x14ac:dyDescent="0.3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f t="array" ref="O2132">_xlfn.IFS(orders[[#This Row],[Customer Gender]]="M","Male", orders[[#This Row],[Customer Gender]]="F","Female", orders[[#This Row],[Customer Gender]]="O","Other", TRUE,"Unknown")</f>
        <v>Unknown</v>
      </c>
    </row>
    <row r="2133" spans="1:15" x14ac:dyDescent="0.3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f t="array" ref="O2133">_xlfn.IFS(orders[[#This Row],[Customer Gender]]="M","Male", orders[[#This Row],[Customer Gender]]="F","Female", orders[[#This Row],[Customer Gender]]="O","Other", TRUE,"Unknown")</f>
        <v>Female</v>
      </c>
    </row>
    <row r="2134" spans="1:15" x14ac:dyDescent="0.3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f t="array" ref="O2134">_xlfn.IFS(orders[[#This Row],[Customer Gender]]="M","Male", orders[[#This Row],[Customer Gender]]="F","Female", orders[[#This Row],[Customer Gender]]="O","Other", TRUE,"Unknown")</f>
        <v>Male</v>
      </c>
    </row>
    <row r="2135" spans="1:15" x14ac:dyDescent="0.3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f t="array" ref="O2135">_xlfn.IFS(orders[[#This Row],[Customer Gender]]="M","Male", orders[[#This Row],[Customer Gender]]="F","Female", orders[[#This Row],[Customer Gender]]="O","Other", TRUE,"Unknown")</f>
        <v>Male</v>
      </c>
    </row>
    <row r="2136" spans="1:15" x14ac:dyDescent="0.3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f t="array" ref="O2136">_xlfn.IFS(orders[[#This Row],[Customer Gender]]="M","Male", orders[[#This Row],[Customer Gender]]="F","Female", orders[[#This Row],[Customer Gender]]="O","Other", TRUE,"Unknown")</f>
        <v>Male</v>
      </c>
    </row>
    <row r="2137" spans="1:15" x14ac:dyDescent="0.3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f t="array" ref="O2137">_xlfn.IFS(orders[[#This Row],[Customer Gender]]="M","Male", orders[[#This Row],[Customer Gender]]="F","Female", orders[[#This Row],[Customer Gender]]="O","Other", TRUE,"Unknown")</f>
        <v>Male</v>
      </c>
    </row>
    <row r="2138" spans="1:15" x14ac:dyDescent="0.3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f t="array" ref="O2138">_xlfn.IFS(orders[[#This Row],[Customer Gender]]="M","Male", orders[[#This Row],[Customer Gender]]="F","Female", orders[[#This Row],[Customer Gender]]="O","Other", TRUE,"Unknown")</f>
        <v>Male</v>
      </c>
    </row>
    <row r="2139" spans="1:15" x14ac:dyDescent="0.3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f t="array" ref="O2139">_xlfn.IFS(orders[[#This Row],[Customer Gender]]="M","Male", orders[[#This Row],[Customer Gender]]="F","Female", orders[[#This Row],[Customer Gender]]="O","Other", TRUE,"Unknown")</f>
        <v>Male</v>
      </c>
    </row>
    <row r="2140" spans="1:15" x14ac:dyDescent="0.3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f t="array" ref="O2140">_xlfn.IFS(orders[[#This Row],[Customer Gender]]="M","Male", orders[[#This Row],[Customer Gender]]="F","Female", orders[[#This Row],[Customer Gender]]="O","Other", TRUE,"Unknown")</f>
        <v>Female</v>
      </c>
    </row>
    <row r="2141" spans="1:15" x14ac:dyDescent="0.3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f t="array" ref="O2141">_xlfn.IFS(orders[[#This Row],[Customer Gender]]="M","Male", orders[[#This Row],[Customer Gender]]="F","Female", orders[[#This Row],[Customer Gender]]="O","Other", TRUE,"Unknown")</f>
        <v>Female</v>
      </c>
    </row>
    <row r="2142" spans="1:15" x14ac:dyDescent="0.3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f t="array" ref="O2142">_xlfn.IFS(orders[[#This Row],[Customer Gender]]="M","Male", orders[[#This Row],[Customer Gender]]="F","Female", orders[[#This Row],[Customer Gender]]="O","Other", TRUE,"Unknown")</f>
        <v>Male</v>
      </c>
    </row>
    <row r="2143" spans="1:15" x14ac:dyDescent="0.3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f t="array" ref="O2143">_xlfn.IFS(orders[[#This Row],[Customer Gender]]="M","Male", orders[[#This Row],[Customer Gender]]="F","Female", orders[[#This Row],[Customer Gender]]="O","Other", TRUE,"Unknown")</f>
        <v>Male</v>
      </c>
    </row>
    <row r="2144" spans="1:15" x14ac:dyDescent="0.3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f t="array" ref="O2144">_xlfn.IFS(orders[[#This Row],[Customer Gender]]="M","Male", orders[[#This Row],[Customer Gender]]="F","Female", orders[[#This Row],[Customer Gender]]="O","Other", TRUE,"Unknown")</f>
        <v>Male</v>
      </c>
    </row>
    <row r="2145" spans="1:15" x14ac:dyDescent="0.3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f t="array" ref="O2145">_xlfn.IFS(orders[[#This Row],[Customer Gender]]="M","Male", orders[[#This Row],[Customer Gender]]="F","Female", orders[[#This Row],[Customer Gender]]="O","Other", TRUE,"Unknown")</f>
        <v>Female</v>
      </c>
    </row>
    <row r="2146" spans="1:15" x14ac:dyDescent="0.3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f t="array" ref="O2146">_xlfn.IFS(orders[[#This Row],[Customer Gender]]="M","Male", orders[[#This Row],[Customer Gender]]="F","Female", orders[[#This Row],[Customer Gender]]="O","Other", TRUE,"Unknown")</f>
        <v>Male</v>
      </c>
    </row>
    <row r="2147" spans="1:15" x14ac:dyDescent="0.3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f t="array" ref="O2147">_xlfn.IFS(orders[[#This Row],[Customer Gender]]="M","Male", orders[[#This Row],[Customer Gender]]="F","Female", orders[[#This Row],[Customer Gender]]="O","Other", TRUE,"Unknown")</f>
        <v>Female</v>
      </c>
    </row>
    <row r="2148" spans="1:15" x14ac:dyDescent="0.3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f t="array" ref="O2148">_xlfn.IFS(orders[[#This Row],[Customer Gender]]="M","Male", orders[[#This Row],[Customer Gender]]="F","Female", orders[[#This Row],[Customer Gender]]="O","Other", TRUE,"Unknown")</f>
        <v>Female</v>
      </c>
    </row>
    <row r="2149" spans="1:15" x14ac:dyDescent="0.3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f t="array" ref="O2149">_xlfn.IFS(orders[[#This Row],[Customer Gender]]="M","Male", orders[[#This Row],[Customer Gender]]="F","Female", orders[[#This Row],[Customer Gender]]="O","Other", TRUE,"Unknown")</f>
        <v>Male</v>
      </c>
    </row>
    <row r="2150" spans="1:15" x14ac:dyDescent="0.3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f t="array" ref="O2150">_xlfn.IFS(orders[[#This Row],[Customer Gender]]="M","Male", orders[[#This Row],[Customer Gender]]="F","Female", orders[[#This Row],[Customer Gender]]="O","Other", TRUE,"Unknown")</f>
        <v>Female</v>
      </c>
    </row>
    <row r="2151" spans="1:15" x14ac:dyDescent="0.3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f t="array" ref="O2151">_xlfn.IFS(orders[[#This Row],[Customer Gender]]="M","Male", orders[[#This Row],[Customer Gender]]="F","Female", orders[[#This Row],[Customer Gender]]="O","Other", TRUE,"Unknown")</f>
        <v>Male</v>
      </c>
    </row>
    <row r="2152" spans="1:15" x14ac:dyDescent="0.3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f t="array" ref="O2152">_xlfn.IFS(orders[[#This Row],[Customer Gender]]="M","Male", orders[[#This Row],[Customer Gender]]="F","Female", orders[[#This Row],[Customer Gender]]="O","Other", TRUE,"Unknown")</f>
        <v>Female</v>
      </c>
    </row>
    <row r="2153" spans="1:15" x14ac:dyDescent="0.3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f t="array" ref="O2153">_xlfn.IFS(orders[[#This Row],[Customer Gender]]="M","Male", orders[[#This Row],[Customer Gender]]="F","Female", orders[[#This Row],[Customer Gender]]="O","Other", TRUE,"Unknown")</f>
        <v>Female</v>
      </c>
    </row>
    <row r="2154" spans="1:15" x14ac:dyDescent="0.3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f t="array" ref="O2154">_xlfn.IFS(orders[[#This Row],[Customer Gender]]="M","Male", orders[[#This Row],[Customer Gender]]="F","Female", orders[[#This Row],[Customer Gender]]="O","Other", TRUE,"Unknown")</f>
        <v>Female</v>
      </c>
    </row>
    <row r="2155" spans="1:15" x14ac:dyDescent="0.3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f t="array" ref="O2155">_xlfn.IFS(orders[[#This Row],[Customer Gender]]="M","Male", orders[[#This Row],[Customer Gender]]="F","Female", orders[[#This Row],[Customer Gender]]="O","Other", TRUE,"Unknown")</f>
        <v>Female</v>
      </c>
    </row>
    <row r="2156" spans="1:15" x14ac:dyDescent="0.3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f t="array" ref="O2156">_xlfn.IFS(orders[[#This Row],[Customer Gender]]="M","Male", orders[[#This Row],[Customer Gender]]="F","Female", orders[[#This Row],[Customer Gender]]="O","Other", TRUE,"Unknown")</f>
        <v>Male</v>
      </c>
    </row>
    <row r="2157" spans="1:15" x14ac:dyDescent="0.3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f t="array" ref="O2157">_xlfn.IFS(orders[[#This Row],[Customer Gender]]="M","Male", orders[[#This Row],[Customer Gender]]="F","Female", orders[[#This Row],[Customer Gender]]="O","Other", TRUE,"Unknown")</f>
        <v>Male</v>
      </c>
    </row>
    <row r="2158" spans="1:15" x14ac:dyDescent="0.3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f t="array" ref="O2158">_xlfn.IFS(orders[[#This Row],[Customer Gender]]="M","Male", orders[[#This Row],[Customer Gender]]="F","Female", orders[[#This Row],[Customer Gender]]="O","Other", TRUE,"Unknown")</f>
        <v>Female</v>
      </c>
    </row>
    <row r="2159" spans="1:15" x14ac:dyDescent="0.3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f t="array" ref="O2159">_xlfn.IFS(orders[[#This Row],[Customer Gender]]="M","Male", orders[[#This Row],[Customer Gender]]="F","Female", orders[[#This Row],[Customer Gender]]="O","Other", TRUE,"Unknown")</f>
        <v>Female</v>
      </c>
    </row>
    <row r="2160" spans="1:15" x14ac:dyDescent="0.3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f t="array" ref="O2160">_xlfn.IFS(orders[[#This Row],[Customer Gender]]="M","Male", orders[[#This Row],[Customer Gender]]="F","Female", orders[[#This Row],[Customer Gender]]="O","Other", TRUE,"Unknown")</f>
        <v>Unknown</v>
      </c>
    </row>
    <row r="2161" spans="1:15" x14ac:dyDescent="0.3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f t="array" ref="O2161">_xlfn.IFS(orders[[#This Row],[Customer Gender]]="M","Male", orders[[#This Row],[Customer Gender]]="F","Female", orders[[#This Row],[Customer Gender]]="O","Other", TRUE,"Unknown")</f>
        <v>Male</v>
      </c>
    </row>
    <row r="2162" spans="1:15" x14ac:dyDescent="0.3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f t="array" ref="O2162">_xlfn.IFS(orders[[#This Row],[Customer Gender]]="M","Male", orders[[#This Row],[Customer Gender]]="F","Female", orders[[#This Row],[Customer Gender]]="O","Other", TRUE,"Unknown")</f>
        <v>Female</v>
      </c>
    </row>
    <row r="2163" spans="1:15" x14ac:dyDescent="0.3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f t="array" ref="O2163">_xlfn.IFS(orders[[#This Row],[Customer Gender]]="M","Male", orders[[#This Row],[Customer Gender]]="F","Female", orders[[#This Row],[Customer Gender]]="O","Other", TRUE,"Unknown")</f>
        <v>Male</v>
      </c>
    </row>
    <row r="2164" spans="1:15" x14ac:dyDescent="0.3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f t="array" ref="O2164">_xlfn.IFS(orders[[#This Row],[Customer Gender]]="M","Male", orders[[#This Row],[Customer Gender]]="F","Female", orders[[#This Row],[Customer Gender]]="O","Other", TRUE,"Unknown")</f>
        <v>Male</v>
      </c>
    </row>
    <row r="2165" spans="1:15" x14ac:dyDescent="0.3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f t="array" ref="O2165">_xlfn.IFS(orders[[#This Row],[Customer Gender]]="M","Male", orders[[#This Row],[Customer Gender]]="F","Female", orders[[#This Row],[Customer Gender]]="O","Other", TRUE,"Unknown")</f>
        <v>Male</v>
      </c>
    </row>
    <row r="2166" spans="1:15" x14ac:dyDescent="0.3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f t="array" ref="O2166">_xlfn.IFS(orders[[#This Row],[Customer Gender]]="M","Male", orders[[#This Row],[Customer Gender]]="F","Female", orders[[#This Row],[Customer Gender]]="O","Other", TRUE,"Unknown")</f>
        <v>Male</v>
      </c>
    </row>
    <row r="2167" spans="1:15" x14ac:dyDescent="0.3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f t="array" ref="O2167">_xlfn.IFS(orders[[#This Row],[Customer Gender]]="M","Male", orders[[#This Row],[Customer Gender]]="F","Female", orders[[#This Row],[Customer Gender]]="O","Other", TRUE,"Unknown")</f>
        <v>Male</v>
      </c>
    </row>
    <row r="2168" spans="1:15" x14ac:dyDescent="0.3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f t="array" ref="O2168">_xlfn.IFS(orders[[#This Row],[Customer Gender]]="M","Male", orders[[#This Row],[Customer Gender]]="F","Female", orders[[#This Row],[Customer Gender]]="O","Other", TRUE,"Unknown")</f>
        <v>Unknown</v>
      </c>
    </row>
    <row r="2169" spans="1:15" x14ac:dyDescent="0.3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f t="array" ref="O2169">_xlfn.IFS(orders[[#This Row],[Customer Gender]]="M","Male", orders[[#This Row],[Customer Gender]]="F","Female", orders[[#This Row],[Customer Gender]]="O","Other", TRUE,"Unknown")</f>
        <v>Female</v>
      </c>
    </row>
    <row r="2170" spans="1:15" x14ac:dyDescent="0.3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f t="array" ref="O2170">_xlfn.IFS(orders[[#This Row],[Customer Gender]]="M","Male", orders[[#This Row],[Customer Gender]]="F","Female", orders[[#This Row],[Customer Gender]]="O","Other", TRUE,"Unknown")</f>
        <v>Male</v>
      </c>
    </row>
    <row r="2171" spans="1:15" x14ac:dyDescent="0.3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f t="array" ref="O2171">_xlfn.IFS(orders[[#This Row],[Customer Gender]]="M","Male", orders[[#This Row],[Customer Gender]]="F","Female", orders[[#This Row],[Customer Gender]]="O","Other", TRUE,"Unknown")</f>
        <v>Male</v>
      </c>
    </row>
    <row r="2172" spans="1:15" x14ac:dyDescent="0.3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f t="array" ref="O2172">_xlfn.IFS(orders[[#This Row],[Customer Gender]]="M","Male", orders[[#This Row],[Customer Gender]]="F","Female", orders[[#This Row],[Customer Gender]]="O","Other", TRUE,"Unknown")</f>
        <v>Female</v>
      </c>
    </row>
    <row r="2173" spans="1:15" x14ac:dyDescent="0.3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f t="array" ref="O2173">_xlfn.IFS(orders[[#This Row],[Customer Gender]]="M","Male", orders[[#This Row],[Customer Gender]]="F","Female", orders[[#This Row],[Customer Gender]]="O","Other", TRUE,"Unknown")</f>
        <v>Male</v>
      </c>
    </row>
    <row r="2174" spans="1:15" x14ac:dyDescent="0.3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f t="array" ref="O2174">_xlfn.IFS(orders[[#This Row],[Customer Gender]]="M","Male", orders[[#This Row],[Customer Gender]]="F","Female", orders[[#This Row],[Customer Gender]]="O","Other", TRUE,"Unknown")</f>
        <v>Male</v>
      </c>
    </row>
    <row r="2175" spans="1:15" x14ac:dyDescent="0.3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f t="array" ref="O2175">_xlfn.IFS(orders[[#This Row],[Customer Gender]]="M","Male", orders[[#This Row],[Customer Gender]]="F","Female", orders[[#This Row],[Customer Gender]]="O","Other", TRUE,"Unknown")</f>
        <v>Female</v>
      </c>
    </row>
    <row r="2176" spans="1:15" x14ac:dyDescent="0.3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f t="array" ref="O2176">_xlfn.IFS(orders[[#This Row],[Customer Gender]]="M","Male", orders[[#This Row],[Customer Gender]]="F","Female", orders[[#This Row],[Customer Gender]]="O","Other", TRUE,"Unknown")</f>
        <v>Female</v>
      </c>
    </row>
    <row r="2177" spans="1:15" x14ac:dyDescent="0.3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f t="array" ref="O2177">_xlfn.IFS(orders[[#This Row],[Customer Gender]]="M","Male", orders[[#This Row],[Customer Gender]]="F","Female", orders[[#This Row],[Customer Gender]]="O","Other", TRUE,"Unknown")</f>
        <v>Male</v>
      </c>
    </row>
    <row r="2178" spans="1:15" x14ac:dyDescent="0.3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f t="array" ref="O2178">_xlfn.IFS(orders[[#This Row],[Customer Gender]]="M","Male", orders[[#This Row],[Customer Gender]]="F","Female", orders[[#This Row],[Customer Gender]]="O","Other", TRUE,"Unknown")</f>
        <v>Female</v>
      </c>
    </row>
    <row r="2179" spans="1:15" x14ac:dyDescent="0.3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f t="array" ref="O2179">_xlfn.IFS(orders[[#This Row],[Customer Gender]]="M","Male", orders[[#This Row],[Customer Gender]]="F","Female", orders[[#This Row],[Customer Gender]]="O","Other", TRUE,"Unknown")</f>
        <v>Female</v>
      </c>
    </row>
    <row r="2180" spans="1:15" x14ac:dyDescent="0.3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f t="array" ref="O2180">_xlfn.IFS(orders[[#This Row],[Customer Gender]]="M","Male", orders[[#This Row],[Customer Gender]]="F","Female", orders[[#This Row],[Customer Gender]]="O","Other", TRUE,"Unknown")</f>
        <v>Female</v>
      </c>
    </row>
    <row r="2181" spans="1:15" x14ac:dyDescent="0.3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f t="array" ref="O2181">_xlfn.IFS(orders[[#This Row],[Customer Gender]]="M","Male", orders[[#This Row],[Customer Gender]]="F","Female", orders[[#This Row],[Customer Gender]]="O","Other", TRUE,"Unknown")</f>
        <v>Male</v>
      </c>
    </row>
    <row r="2182" spans="1:15" x14ac:dyDescent="0.3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f t="array" ref="O2182">_xlfn.IFS(orders[[#This Row],[Customer Gender]]="M","Male", orders[[#This Row],[Customer Gender]]="F","Female", orders[[#This Row],[Customer Gender]]="O","Other", TRUE,"Unknown")</f>
        <v>Male</v>
      </c>
    </row>
    <row r="2183" spans="1:15" x14ac:dyDescent="0.3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f t="array" ref="O2183">_xlfn.IFS(orders[[#This Row],[Customer Gender]]="M","Male", orders[[#This Row],[Customer Gender]]="F","Female", orders[[#This Row],[Customer Gender]]="O","Other", TRUE,"Unknown")</f>
        <v>Male</v>
      </c>
    </row>
    <row r="2184" spans="1:15" x14ac:dyDescent="0.3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f t="array" ref="O2184">_xlfn.IFS(orders[[#This Row],[Customer Gender]]="M","Male", orders[[#This Row],[Customer Gender]]="F","Female", orders[[#This Row],[Customer Gender]]="O","Other", TRUE,"Unknown")</f>
        <v>Other</v>
      </c>
    </row>
    <row r="2185" spans="1:15" x14ac:dyDescent="0.3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f t="array" ref="O2185">_xlfn.IFS(orders[[#This Row],[Customer Gender]]="M","Male", orders[[#This Row],[Customer Gender]]="F","Female", orders[[#This Row],[Customer Gender]]="O","Other", TRUE,"Unknown")</f>
        <v>Female</v>
      </c>
    </row>
    <row r="2186" spans="1:15" x14ac:dyDescent="0.3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f t="array" ref="O2186">_xlfn.IFS(orders[[#This Row],[Customer Gender]]="M","Male", orders[[#This Row],[Customer Gender]]="F","Female", orders[[#This Row],[Customer Gender]]="O","Other", TRUE,"Unknown")</f>
        <v>Male</v>
      </c>
    </row>
    <row r="2187" spans="1:15" x14ac:dyDescent="0.3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f t="array" ref="O2187">_xlfn.IFS(orders[[#This Row],[Customer Gender]]="M","Male", orders[[#This Row],[Customer Gender]]="F","Female", orders[[#This Row],[Customer Gender]]="O","Other", TRUE,"Unknown")</f>
        <v>Male</v>
      </c>
    </row>
    <row r="2188" spans="1:15" x14ac:dyDescent="0.3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f t="array" ref="O2188">_xlfn.IFS(orders[[#This Row],[Customer Gender]]="M","Male", orders[[#This Row],[Customer Gender]]="F","Female", orders[[#This Row],[Customer Gender]]="O","Other", TRUE,"Unknown")</f>
        <v>Female</v>
      </c>
    </row>
    <row r="2189" spans="1:15" x14ac:dyDescent="0.3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f t="array" ref="O2189">_xlfn.IFS(orders[[#This Row],[Customer Gender]]="M","Male", orders[[#This Row],[Customer Gender]]="F","Female", orders[[#This Row],[Customer Gender]]="O","Other", TRUE,"Unknown")</f>
        <v>Female</v>
      </c>
    </row>
    <row r="2190" spans="1:15" x14ac:dyDescent="0.3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f t="array" ref="O2190">_xlfn.IFS(orders[[#This Row],[Customer Gender]]="M","Male", orders[[#This Row],[Customer Gender]]="F","Female", orders[[#This Row],[Customer Gender]]="O","Other", TRUE,"Unknown")</f>
        <v>Male</v>
      </c>
    </row>
    <row r="2191" spans="1:15" x14ac:dyDescent="0.3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f t="array" ref="O2191">_xlfn.IFS(orders[[#This Row],[Customer Gender]]="M","Male", orders[[#This Row],[Customer Gender]]="F","Female", orders[[#This Row],[Customer Gender]]="O","Other", TRUE,"Unknown")</f>
        <v>Male</v>
      </c>
    </row>
    <row r="2192" spans="1:15" x14ac:dyDescent="0.3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f t="array" ref="O2192">_xlfn.IFS(orders[[#This Row],[Customer Gender]]="M","Male", orders[[#This Row],[Customer Gender]]="F","Female", orders[[#This Row],[Customer Gender]]="O","Other", TRUE,"Unknown")</f>
        <v>Male</v>
      </c>
    </row>
    <row r="2193" spans="1:15" x14ac:dyDescent="0.3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f t="array" ref="O2193">_xlfn.IFS(orders[[#This Row],[Customer Gender]]="M","Male", orders[[#This Row],[Customer Gender]]="F","Female", orders[[#This Row],[Customer Gender]]="O","Other", TRUE,"Unknown")</f>
        <v>Male</v>
      </c>
    </row>
    <row r="2194" spans="1:15" x14ac:dyDescent="0.3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f t="array" ref="O2194">_xlfn.IFS(orders[[#This Row],[Customer Gender]]="M","Male", orders[[#This Row],[Customer Gender]]="F","Female", orders[[#This Row],[Customer Gender]]="O","Other", TRUE,"Unknown")</f>
        <v>Male</v>
      </c>
    </row>
    <row r="2195" spans="1:15" x14ac:dyDescent="0.3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f t="array" ref="O2195">_xlfn.IFS(orders[[#This Row],[Customer Gender]]="M","Male", orders[[#This Row],[Customer Gender]]="F","Female", orders[[#This Row],[Customer Gender]]="O","Other", TRUE,"Unknown")</f>
        <v>Female</v>
      </c>
    </row>
    <row r="2196" spans="1:15" x14ac:dyDescent="0.3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f t="array" ref="O2196">_xlfn.IFS(orders[[#This Row],[Customer Gender]]="M","Male", orders[[#This Row],[Customer Gender]]="F","Female", orders[[#This Row],[Customer Gender]]="O","Other", TRUE,"Unknown")</f>
        <v>Male</v>
      </c>
    </row>
    <row r="2197" spans="1:15" x14ac:dyDescent="0.3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f t="array" ref="O2197">_xlfn.IFS(orders[[#This Row],[Customer Gender]]="M","Male", orders[[#This Row],[Customer Gender]]="F","Female", orders[[#This Row],[Customer Gender]]="O","Other", TRUE,"Unknown")</f>
        <v>Male</v>
      </c>
    </row>
    <row r="2198" spans="1:15" x14ac:dyDescent="0.3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f t="array" ref="O2198">_xlfn.IFS(orders[[#This Row],[Customer Gender]]="M","Male", orders[[#This Row],[Customer Gender]]="F","Female", orders[[#This Row],[Customer Gender]]="O","Other", TRUE,"Unknown")</f>
        <v>Female</v>
      </c>
    </row>
    <row r="2199" spans="1:15" x14ac:dyDescent="0.3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f t="array" ref="O2199">_xlfn.IFS(orders[[#This Row],[Customer Gender]]="M","Male", orders[[#This Row],[Customer Gender]]="F","Female", orders[[#This Row],[Customer Gender]]="O","Other", TRUE,"Unknown")</f>
        <v>Female</v>
      </c>
    </row>
    <row r="2200" spans="1:15" x14ac:dyDescent="0.3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f t="array" ref="O2200">_xlfn.IFS(orders[[#This Row],[Customer Gender]]="M","Male", orders[[#This Row],[Customer Gender]]="F","Female", orders[[#This Row],[Customer Gender]]="O","Other", TRUE,"Unknown")</f>
        <v>Male</v>
      </c>
    </row>
    <row r="2201" spans="1:15" x14ac:dyDescent="0.3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f t="array" ref="O2201">_xlfn.IFS(orders[[#This Row],[Customer Gender]]="M","Male", orders[[#This Row],[Customer Gender]]="F","Female", orders[[#This Row],[Customer Gender]]="O","Other", TRUE,"Unknown")</f>
        <v>Male</v>
      </c>
    </row>
    <row r="2202" spans="1:15" x14ac:dyDescent="0.3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f t="array" ref="O2202">_xlfn.IFS(orders[[#This Row],[Customer Gender]]="M","Male", orders[[#This Row],[Customer Gender]]="F","Female", orders[[#This Row],[Customer Gender]]="O","Other", TRUE,"Unknown")</f>
        <v>Male</v>
      </c>
    </row>
    <row r="2203" spans="1:15" x14ac:dyDescent="0.3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f t="array" ref="O2203">_xlfn.IFS(orders[[#This Row],[Customer Gender]]="M","Male", orders[[#This Row],[Customer Gender]]="F","Female", orders[[#This Row],[Customer Gender]]="O","Other", TRUE,"Unknown")</f>
        <v>Male</v>
      </c>
    </row>
    <row r="2204" spans="1:15" x14ac:dyDescent="0.3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f t="array" ref="O2204">_xlfn.IFS(orders[[#This Row],[Customer Gender]]="M","Male", orders[[#This Row],[Customer Gender]]="F","Female", orders[[#This Row],[Customer Gender]]="O","Other", TRUE,"Unknown")</f>
        <v>Male</v>
      </c>
    </row>
    <row r="2205" spans="1:15" x14ac:dyDescent="0.3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f t="array" ref="O2205">_xlfn.IFS(orders[[#This Row],[Customer Gender]]="M","Male", orders[[#This Row],[Customer Gender]]="F","Female", orders[[#This Row],[Customer Gender]]="O","Other", TRUE,"Unknown")</f>
        <v>Male</v>
      </c>
    </row>
    <row r="2206" spans="1:15" x14ac:dyDescent="0.3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f t="array" ref="O2206">_xlfn.IFS(orders[[#This Row],[Customer Gender]]="M","Male", orders[[#This Row],[Customer Gender]]="F","Female", orders[[#This Row],[Customer Gender]]="O","Other", TRUE,"Unknown")</f>
        <v>Female</v>
      </c>
    </row>
    <row r="2207" spans="1:15" x14ac:dyDescent="0.3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f t="array" ref="O2207">_xlfn.IFS(orders[[#This Row],[Customer Gender]]="M","Male", orders[[#This Row],[Customer Gender]]="F","Female", orders[[#This Row],[Customer Gender]]="O","Other", TRUE,"Unknown")</f>
        <v>Female</v>
      </c>
    </row>
    <row r="2208" spans="1:15" x14ac:dyDescent="0.3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f t="array" ref="O2208">_xlfn.IFS(orders[[#This Row],[Customer Gender]]="M","Male", orders[[#This Row],[Customer Gender]]="F","Female", orders[[#This Row],[Customer Gender]]="O","Other", TRUE,"Unknown")</f>
        <v>Female</v>
      </c>
    </row>
    <row r="2209" spans="1:15" x14ac:dyDescent="0.3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f t="array" ref="O2209">_xlfn.IFS(orders[[#This Row],[Customer Gender]]="M","Male", orders[[#This Row],[Customer Gender]]="F","Female", orders[[#This Row],[Customer Gender]]="O","Other", TRUE,"Unknown")</f>
        <v>Female</v>
      </c>
    </row>
    <row r="2210" spans="1:15" x14ac:dyDescent="0.3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f t="array" ref="O2210">_xlfn.IFS(orders[[#This Row],[Customer Gender]]="M","Male", orders[[#This Row],[Customer Gender]]="F","Female", orders[[#This Row],[Customer Gender]]="O","Other", TRUE,"Unknown")</f>
        <v>Female</v>
      </c>
    </row>
    <row r="2211" spans="1:15" x14ac:dyDescent="0.3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f t="array" ref="O2211">_xlfn.IFS(orders[[#This Row],[Customer Gender]]="M","Male", orders[[#This Row],[Customer Gender]]="F","Female", orders[[#This Row],[Customer Gender]]="O","Other", TRUE,"Unknown")</f>
        <v>Male</v>
      </c>
    </row>
    <row r="2212" spans="1:15" x14ac:dyDescent="0.3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f t="array" ref="O2212">_xlfn.IFS(orders[[#This Row],[Customer Gender]]="M","Male", orders[[#This Row],[Customer Gender]]="F","Female", orders[[#This Row],[Customer Gender]]="O","Other", TRUE,"Unknown")</f>
        <v>Unknown</v>
      </c>
    </row>
    <row r="2213" spans="1:15" x14ac:dyDescent="0.3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f t="array" ref="O2213">_xlfn.IFS(orders[[#This Row],[Customer Gender]]="M","Male", orders[[#This Row],[Customer Gender]]="F","Female", orders[[#This Row],[Customer Gender]]="O","Other", TRUE,"Unknown")</f>
        <v>Male</v>
      </c>
    </row>
    <row r="2214" spans="1:15" x14ac:dyDescent="0.3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f t="array" ref="O2214">_xlfn.IFS(orders[[#This Row],[Customer Gender]]="M","Male", orders[[#This Row],[Customer Gender]]="F","Female", orders[[#This Row],[Customer Gender]]="O","Other", TRUE,"Unknown")</f>
        <v>Female</v>
      </c>
    </row>
    <row r="2215" spans="1:15" x14ac:dyDescent="0.3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f t="array" ref="O2215">_xlfn.IFS(orders[[#This Row],[Customer Gender]]="M","Male", orders[[#This Row],[Customer Gender]]="F","Female", orders[[#This Row],[Customer Gender]]="O","Other", TRUE,"Unknown")</f>
        <v>Male</v>
      </c>
    </row>
    <row r="2216" spans="1:15" x14ac:dyDescent="0.3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f t="array" ref="O2216">_xlfn.IFS(orders[[#This Row],[Customer Gender]]="M","Male", orders[[#This Row],[Customer Gender]]="F","Female", orders[[#This Row],[Customer Gender]]="O","Other", TRUE,"Unknown")</f>
        <v>Other</v>
      </c>
    </row>
    <row r="2217" spans="1:15" x14ac:dyDescent="0.3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f t="array" ref="O2217">_xlfn.IFS(orders[[#This Row],[Customer Gender]]="M","Male", orders[[#This Row],[Customer Gender]]="F","Female", orders[[#This Row],[Customer Gender]]="O","Other", TRUE,"Unknown")</f>
        <v>Female</v>
      </c>
    </row>
    <row r="2218" spans="1:15" x14ac:dyDescent="0.3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f t="array" ref="O2218">_xlfn.IFS(orders[[#This Row],[Customer Gender]]="M","Male", orders[[#This Row],[Customer Gender]]="F","Female", orders[[#This Row],[Customer Gender]]="O","Other", TRUE,"Unknown")</f>
        <v>Male</v>
      </c>
    </row>
    <row r="2219" spans="1:15" x14ac:dyDescent="0.3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f t="array" ref="O2219">_xlfn.IFS(orders[[#This Row],[Customer Gender]]="M","Male", orders[[#This Row],[Customer Gender]]="F","Female", orders[[#This Row],[Customer Gender]]="O","Other", TRUE,"Unknown")</f>
        <v>Male</v>
      </c>
    </row>
    <row r="2220" spans="1:15" x14ac:dyDescent="0.3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f t="array" ref="O2220">_xlfn.IFS(orders[[#This Row],[Customer Gender]]="M","Male", orders[[#This Row],[Customer Gender]]="F","Female", orders[[#This Row],[Customer Gender]]="O","Other", TRUE,"Unknown")</f>
        <v>Male</v>
      </c>
    </row>
    <row r="2221" spans="1:15" x14ac:dyDescent="0.3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f t="array" ref="O2221">_xlfn.IFS(orders[[#This Row],[Customer Gender]]="M","Male", orders[[#This Row],[Customer Gender]]="F","Female", orders[[#This Row],[Customer Gender]]="O","Other", TRUE,"Unknown")</f>
        <v>Male</v>
      </c>
    </row>
    <row r="2222" spans="1:15" x14ac:dyDescent="0.3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f t="array" ref="O2222">_xlfn.IFS(orders[[#This Row],[Customer Gender]]="M","Male", orders[[#This Row],[Customer Gender]]="F","Female", orders[[#This Row],[Customer Gender]]="O","Other", TRUE,"Unknown")</f>
        <v>Male</v>
      </c>
    </row>
    <row r="2223" spans="1:15" x14ac:dyDescent="0.3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f t="array" ref="O2223">_xlfn.IFS(orders[[#This Row],[Customer Gender]]="M","Male", orders[[#This Row],[Customer Gender]]="F","Female", orders[[#This Row],[Customer Gender]]="O","Other", TRUE,"Unknown")</f>
        <v>Male</v>
      </c>
    </row>
    <row r="2224" spans="1:15" x14ac:dyDescent="0.3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f t="array" ref="O2224">_xlfn.IFS(orders[[#This Row],[Customer Gender]]="M","Male", orders[[#This Row],[Customer Gender]]="F","Female", orders[[#This Row],[Customer Gender]]="O","Other", TRUE,"Unknown")</f>
        <v>Female</v>
      </c>
    </row>
    <row r="2225" spans="1:15" x14ac:dyDescent="0.3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f t="array" ref="O2225">_xlfn.IFS(orders[[#This Row],[Customer Gender]]="M","Male", orders[[#This Row],[Customer Gender]]="F","Female", orders[[#This Row],[Customer Gender]]="O","Other", TRUE,"Unknown")</f>
        <v>Female</v>
      </c>
    </row>
    <row r="2226" spans="1:15" x14ac:dyDescent="0.3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f t="array" ref="O2226">_xlfn.IFS(orders[[#This Row],[Customer Gender]]="M","Male", orders[[#This Row],[Customer Gender]]="F","Female", orders[[#This Row],[Customer Gender]]="O","Other", TRUE,"Unknown")</f>
        <v>Female</v>
      </c>
    </row>
    <row r="2227" spans="1:15" x14ac:dyDescent="0.3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f t="array" ref="O2227">_xlfn.IFS(orders[[#This Row],[Customer Gender]]="M","Male", orders[[#This Row],[Customer Gender]]="F","Female", orders[[#This Row],[Customer Gender]]="O","Other", TRUE,"Unknown")</f>
        <v>Female</v>
      </c>
    </row>
    <row r="2228" spans="1:15" x14ac:dyDescent="0.3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f t="array" ref="O2228">_xlfn.IFS(orders[[#This Row],[Customer Gender]]="M","Male", orders[[#This Row],[Customer Gender]]="F","Female", orders[[#This Row],[Customer Gender]]="O","Other", TRUE,"Unknown")</f>
        <v>Male</v>
      </c>
    </row>
    <row r="2229" spans="1:15" x14ac:dyDescent="0.3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f t="array" ref="O2229">_xlfn.IFS(orders[[#This Row],[Customer Gender]]="M","Male", orders[[#This Row],[Customer Gender]]="F","Female", orders[[#This Row],[Customer Gender]]="O","Other", TRUE,"Unknown")</f>
        <v>Male</v>
      </c>
    </row>
    <row r="2230" spans="1:15" x14ac:dyDescent="0.3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f t="array" ref="O2230">_xlfn.IFS(orders[[#This Row],[Customer Gender]]="M","Male", orders[[#This Row],[Customer Gender]]="F","Female", orders[[#This Row],[Customer Gender]]="O","Other", TRUE,"Unknown")</f>
        <v>Female</v>
      </c>
    </row>
    <row r="2231" spans="1:15" x14ac:dyDescent="0.3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f t="array" ref="O2231">_xlfn.IFS(orders[[#This Row],[Customer Gender]]="M","Male", orders[[#This Row],[Customer Gender]]="F","Female", orders[[#This Row],[Customer Gender]]="O","Other", TRUE,"Unknown")</f>
        <v>Female</v>
      </c>
    </row>
    <row r="2232" spans="1:15" x14ac:dyDescent="0.3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f t="array" ref="O2232">_xlfn.IFS(orders[[#This Row],[Customer Gender]]="M","Male", orders[[#This Row],[Customer Gender]]="F","Female", orders[[#This Row],[Customer Gender]]="O","Other", TRUE,"Unknown")</f>
        <v>Female</v>
      </c>
    </row>
    <row r="2233" spans="1:15" x14ac:dyDescent="0.3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f t="array" ref="O2233">_xlfn.IFS(orders[[#This Row],[Customer Gender]]="M","Male", orders[[#This Row],[Customer Gender]]="F","Female", orders[[#This Row],[Customer Gender]]="O","Other", TRUE,"Unknown")</f>
        <v>Male</v>
      </c>
    </row>
    <row r="2234" spans="1:15" x14ac:dyDescent="0.3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f t="array" ref="O2234">_xlfn.IFS(orders[[#This Row],[Customer Gender]]="M","Male", orders[[#This Row],[Customer Gender]]="F","Female", orders[[#This Row],[Customer Gender]]="O","Other", TRUE,"Unknown")</f>
        <v>Female</v>
      </c>
    </row>
    <row r="2235" spans="1:15" x14ac:dyDescent="0.3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f t="array" ref="O2235">_xlfn.IFS(orders[[#This Row],[Customer Gender]]="M","Male", orders[[#This Row],[Customer Gender]]="F","Female", orders[[#This Row],[Customer Gender]]="O","Other", TRUE,"Unknown")</f>
        <v>Male</v>
      </c>
    </row>
    <row r="2236" spans="1:15" x14ac:dyDescent="0.3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f t="array" ref="O2236">_xlfn.IFS(orders[[#This Row],[Customer Gender]]="M","Male", orders[[#This Row],[Customer Gender]]="F","Female", orders[[#This Row],[Customer Gender]]="O","Other", TRUE,"Unknown")</f>
        <v>Female</v>
      </c>
    </row>
    <row r="2237" spans="1:15" x14ac:dyDescent="0.3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f t="array" ref="O2237">_xlfn.IFS(orders[[#This Row],[Customer Gender]]="M","Male", orders[[#This Row],[Customer Gender]]="F","Female", orders[[#This Row],[Customer Gender]]="O","Other", TRUE,"Unknown")</f>
        <v>Unknown</v>
      </c>
    </row>
    <row r="2238" spans="1:15" x14ac:dyDescent="0.3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f t="array" ref="O2238">_xlfn.IFS(orders[[#This Row],[Customer Gender]]="M","Male", orders[[#This Row],[Customer Gender]]="F","Female", orders[[#This Row],[Customer Gender]]="O","Other", TRUE,"Unknown")</f>
        <v>Female</v>
      </c>
    </row>
    <row r="2239" spans="1:15" x14ac:dyDescent="0.3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f t="array" ref="O2239">_xlfn.IFS(orders[[#This Row],[Customer Gender]]="M","Male", orders[[#This Row],[Customer Gender]]="F","Female", orders[[#This Row],[Customer Gender]]="O","Other", TRUE,"Unknown")</f>
        <v>Female</v>
      </c>
    </row>
    <row r="2240" spans="1:15" x14ac:dyDescent="0.3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f t="array" ref="O2240">_xlfn.IFS(orders[[#This Row],[Customer Gender]]="M","Male", orders[[#This Row],[Customer Gender]]="F","Female", orders[[#This Row],[Customer Gender]]="O","Other", TRUE,"Unknown")</f>
        <v>Male</v>
      </c>
    </row>
    <row r="2241" spans="1:15" x14ac:dyDescent="0.3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f t="array" ref="O2241">_xlfn.IFS(orders[[#This Row],[Customer Gender]]="M","Male", orders[[#This Row],[Customer Gender]]="F","Female", orders[[#This Row],[Customer Gender]]="O","Other", TRUE,"Unknown")</f>
        <v>Female</v>
      </c>
    </row>
    <row r="2242" spans="1:15" x14ac:dyDescent="0.3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f t="array" ref="O2242">_xlfn.IFS(orders[[#This Row],[Customer Gender]]="M","Male", orders[[#This Row],[Customer Gender]]="F","Female", orders[[#This Row],[Customer Gender]]="O","Other", TRUE,"Unknown")</f>
        <v>Female</v>
      </c>
    </row>
    <row r="2243" spans="1:15" x14ac:dyDescent="0.3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f t="array" ref="O2243">_xlfn.IFS(orders[[#This Row],[Customer Gender]]="M","Male", orders[[#This Row],[Customer Gender]]="F","Female", orders[[#This Row],[Customer Gender]]="O","Other", TRUE,"Unknown")</f>
        <v>Male</v>
      </c>
    </row>
    <row r="2244" spans="1:15" x14ac:dyDescent="0.3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f t="array" ref="O2244">_xlfn.IFS(orders[[#This Row],[Customer Gender]]="M","Male", orders[[#This Row],[Customer Gender]]="F","Female", orders[[#This Row],[Customer Gender]]="O","Other", TRUE,"Unknown")</f>
        <v>Male</v>
      </c>
    </row>
    <row r="2245" spans="1:15" x14ac:dyDescent="0.3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f t="array" ref="O2245">_xlfn.IFS(orders[[#This Row],[Customer Gender]]="M","Male", orders[[#This Row],[Customer Gender]]="F","Female", orders[[#This Row],[Customer Gender]]="O","Other", TRUE,"Unknown")</f>
        <v>Female</v>
      </c>
    </row>
    <row r="2246" spans="1:15" x14ac:dyDescent="0.3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f t="array" ref="O2246">_xlfn.IFS(orders[[#This Row],[Customer Gender]]="M","Male", orders[[#This Row],[Customer Gender]]="F","Female", orders[[#This Row],[Customer Gender]]="O","Other", TRUE,"Unknown")</f>
        <v>Male</v>
      </c>
    </row>
    <row r="2247" spans="1:15" x14ac:dyDescent="0.3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f t="array" ref="O2247">_xlfn.IFS(orders[[#This Row],[Customer Gender]]="M","Male", orders[[#This Row],[Customer Gender]]="F","Female", orders[[#This Row],[Customer Gender]]="O","Other", TRUE,"Unknown")</f>
        <v>Female</v>
      </c>
    </row>
    <row r="2248" spans="1:15" x14ac:dyDescent="0.3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f t="array" ref="O2248">_xlfn.IFS(orders[[#This Row],[Customer Gender]]="M","Male", orders[[#This Row],[Customer Gender]]="F","Female", orders[[#This Row],[Customer Gender]]="O","Other", TRUE,"Unknown")</f>
        <v>Female</v>
      </c>
    </row>
    <row r="2249" spans="1:15" x14ac:dyDescent="0.3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f t="array" ref="O2249">_xlfn.IFS(orders[[#This Row],[Customer Gender]]="M","Male", orders[[#This Row],[Customer Gender]]="F","Female", orders[[#This Row],[Customer Gender]]="O","Other", TRUE,"Unknown")</f>
        <v>Female</v>
      </c>
    </row>
    <row r="2250" spans="1:15" x14ac:dyDescent="0.3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f t="array" ref="O2250">_xlfn.IFS(orders[[#This Row],[Customer Gender]]="M","Male", orders[[#This Row],[Customer Gender]]="F","Female", orders[[#This Row],[Customer Gender]]="O","Other", TRUE,"Unknown")</f>
        <v>Male</v>
      </c>
    </row>
    <row r="2251" spans="1:15" x14ac:dyDescent="0.3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f t="array" ref="O2251">_xlfn.IFS(orders[[#This Row],[Customer Gender]]="M","Male", orders[[#This Row],[Customer Gender]]="F","Female", orders[[#This Row],[Customer Gender]]="O","Other", TRUE,"Unknown")</f>
        <v>Female</v>
      </c>
    </row>
    <row r="2252" spans="1:15" x14ac:dyDescent="0.3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f t="array" ref="O2252">_xlfn.IFS(orders[[#This Row],[Customer Gender]]="M","Male", orders[[#This Row],[Customer Gender]]="F","Female", orders[[#This Row],[Customer Gender]]="O","Other", TRUE,"Unknown")</f>
        <v>Female</v>
      </c>
    </row>
    <row r="2253" spans="1:15" x14ac:dyDescent="0.3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f t="array" ref="O2253">_xlfn.IFS(orders[[#This Row],[Customer Gender]]="M","Male", orders[[#This Row],[Customer Gender]]="F","Female", orders[[#This Row],[Customer Gender]]="O","Other", TRUE,"Unknown")</f>
        <v>Male</v>
      </c>
    </row>
    <row r="2254" spans="1:15" x14ac:dyDescent="0.3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f t="array" ref="O2254">_xlfn.IFS(orders[[#This Row],[Customer Gender]]="M","Male", orders[[#This Row],[Customer Gender]]="F","Female", orders[[#This Row],[Customer Gender]]="O","Other", TRUE,"Unknown")</f>
        <v>Male</v>
      </c>
    </row>
    <row r="2255" spans="1:15" x14ac:dyDescent="0.3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f t="array" ref="O2255">_xlfn.IFS(orders[[#This Row],[Customer Gender]]="M","Male", orders[[#This Row],[Customer Gender]]="F","Female", orders[[#This Row],[Customer Gender]]="O","Other", TRUE,"Unknown")</f>
        <v>Male</v>
      </c>
    </row>
    <row r="2256" spans="1:15" x14ac:dyDescent="0.3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f t="array" ref="O2256">_xlfn.IFS(orders[[#This Row],[Customer Gender]]="M","Male", orders[[#This Row],[Customer Gender]]="F","Female", orders[[#This Row],[Customer Gender]]="O","Other", TRUE,"Unknown")</f>
        <v>Female</v>
      </c>
    </row>
    <row r="2257" spans="1:15" x14ac:dyDescent="0.3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f t="array" ref="O2257">_xlfn.IFS(orders[[#This Row],[Customer Gender]]="M","Male", orders[[#This Row],[Customer Gender]]="F","Female", orders[[#This Row],[Customer Gender]]="O","Other", TRUE,"Unknown")</f>
        <v>Female</v>
      </c>
    </row>
    <row r="2258" spans="1:15" x14ac:dyDescent="0.3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f t="array" ref="O2258">_xlfn.IFS(orders[[#This Row],[Customer Gender]]="M","Male", orders[[#This Row],[Customer Gender]]="F","Female", orders[[#This Row],[Customer Gender]]="O","Other", TRUE,"Unknown")</f>
        <v>Male</v>
      </c>
    </row>
    <row r="2259" spans="1:15" x14ac:dyDescent="0.3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f t="array" ref="O2259">_xlfn.IFS(orders[[#This Row],[Customer Gender]]="M","Male", orders[[#This Row],[Customer Gender]]="F","Female", orders[[#This Row],[Customer Gender]]="O","Other", TRUE,"Unknown")</f>
        <v>Female</v>
      </c>
    </row>
    <row r="2260" spans="1:15" x14ac:dyDescent="0.3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f t="array" ref="O2260">_xlfn.IFS(orders[[#This Row],[Customer Gender]]="M","Male", orders[[#This Row],[Customer Gender]]="F","Female", orders[[#This Row],[Customer Gender]]="O","Other", TRUE,"Unknown")</f>
        <v>Female</v>
      </c>
    </row>
    <row r="2261" spans="1:15" x14ac:dyDescent="0.3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f t="array" ref="O2261">_xlfn.IFS(orders[[#This Row],[Customer Gender]]="M","Male", orders[[#This Row],[Customer Gender]]="F","Female", orders[[#This Row],[Customer Gender]]="O","Other", TRUE,"Unknown")</f>
        <v>Female</v>
      </c>
    </row>
    <row r="2262" spans="1:15" x14ac:dyDescent="0.3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f t="array" ref="O2262">_xlfn.IFS(orders[[#This Row],[Customer Gender]]="M","Male", orders[[#This Row],[Customer Gender]]="F","Female", orders[[#This Row],[Customer Gender]]="O","Other", TRUE,"Unknown")</f>
        <v>Female</v>
      </c>
    </row>
    <row r="2263" spans="1:15" x14ac:dyDescent="0.3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f t="array" ref="O2263">_xlfn.IFS(orders[[#This Row],[Customer Gender]]="M","Male", orders[[#This Row],[Customer Gender]]="F","Female", orders[[#This Row],[Customer Gender]]="O","Other", TRUE,"Unknown")</f>
        <v>Male</v>
      </c>
    </row>
    <row r="2264" spans="1:15" x14ac:dyDescent="0.3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f t="array" ref="O2264">_xlfn.IFS(orders[[#This Row],[Customer Gender]]="M","Male", orders[[#This Row],[Customer Gender]]="F","Female", orders[[#This Row],[Customer Gender]]="O","Other", TRUE,"Unknown")</f>
        <v>Male</v>
      </c>
    </row>
    <row r="2265" spans="1:15" x14ac:dyDescent="0.3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f t="array" ref="O2265">_xlfn.IFS(orders[[#This Row],[Customer Gender]]="M","Male", orders[[#This Row],[Customer Gender]]="F","Female", orders[[#This Row],[Customer Gender]]="O","Other", TRUE,"Unknown")</f>
        <v>Male</v>
      </c>
    </row>
    <row r="2266" spans="1:15" x14ac:dyDescent="0.3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f t="array" ref="O2266">_xlfn.IFS(orders[[#This Row],[Customer Gender]]="M","Male", orders[[#This Row],[Customer Gender]]="F","Female", orders[[#This Row],[Customer Gender]]="O","Other", TRUE,"Unknown")</f>
        <v>Male</v>
      </c>
    </row>
    <row r="2267" spans="1:15" x14ac:dyDescent="0.3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f t="array" ref="O2267">_xlfn.IFS(orders[[#This Row],[Customer Gender]]="M","Male", orders[[#This Row],[Customer Gender]]="F","Female", orders[[#This Row],[Customer Gender]]="O","Other", TRUE,"Unknown")</f>
        <v>Other</v>
      </c>
    </row>
    <row r="2268" spans="1:15" x14ac:dyDescent="0.3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f t="array" ref="O2268">_xlfn.IFS(orders[[#This Row],[Customer Gender]]="M","Male", orders[[#This Row],[Customer Gender]]="F","Female", orders[[#This Row],[Customer Gender]]="O","Other", TRUE,"Unknown")</f>
        <v>Female</v>
      </c>
    </row>
    <row r="2269" spans="1:15" x14ac:dyDescent="0.3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f t="array" ref="O2269">_xlfn.IFS(orders[[#This Row],[Customer Gender]]="M","Male", orders[[#This Row],[Customer Gender]]="F","Female", orders[[#This Row],[Customer Gender]]="O","Other", TRUE,"Unknown")</f>
        <v>Female</v>
      </c>
    </row>
    <row r="2270" spans="1:15" x14ac:dyDescent="0.3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f t="array" ref="O2270">_xlfn.IFS(orders[[#This Row],[Customer Gender]]="M","Male", orders[[#This Row],[Customer Gender]]="F","Female", orders[[#This Row],[Customer Gender]]="O","Other", TRUE,"Unknown")</f>
        <v>Female</v>
      </c>
    </row>
    <row r="2271" spans="1:15" x14ac:dyDescent="0.3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f t="array" ref="O2271">_xlfn.IFS(orders[[#This Row],[Customer Gender]]="M","Male", orders[[#This Row],[Customer Gender]]="F","Female", orders[[#This Row],[Customer Gender]]="O","Other", TRUE,"Unknown")</f>
        <v>Female</v>
      </c>
    </row>
    <row r="2272" spans="1:15" x14ac:dyDescent="0.3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f t="array" ref="O2272">_xlfn.IFS(orders[[#This Row],[Customer Gender]]="M","Male", orders[[#This Row],[Customer Gender]]="F","Female", orders[[#This Row],[Customer Gender]]="O","Other", TRUE,"Unknown")</f>
        <v>Female</v>
      </c>
    </row>
    <row r="2273" spans="1:15" x14ac:dyDescent="0.3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f t="array" ref="O2273">_xlfn.IFS(orders[[#This Row],[Customer Gender]]="M","Male", orders[[#This Row],[Customer Gender]]="F","Female", orders[[#This Row],[Customer Gender]]="O","Other", TRUE,"Unknown")</f>
        <v>Female</v>
      </c>
    </row>
    <row r="2274" spans="1:15" x14ac:dyDescent="0.3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f t="array" ref="O2274">_xlfn.IFS(orders[[#This Row],[Customer Gender]]="M","Male", orders[[#This Row],[Customer Gender]]="F","Female", orders[[#This Row],[Customer Gender]]="O","Other", TRUE,"Unknown")</f>
        <v>Female</v>
      </c>
    </row>
    <row r="2275" spans="1:15" x14ac:dyDescent="0.3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f t="array" ref="O2275">_xlfn.IFS(orders[[#This Row],[Customer Gender]]="M","Male", orders[[#This Row],[Customer Gender]]="F","Female", orders[[#This Row],[Customer Gender]]="O","Other", TRUE,"Unknown")</f>
        <v>Male</v>
      </c>
    </row>
    <row r="2276" spans="1:15" x14ac:dyDescent="0.3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f t="array" ref="O2276">_xlfn.IFS(orders[[#This Row],[Customer Gender]]="M","Male", orders[[#This Row],[Customer Gender]]="F","Female", orders[[#This Row],[Customer Gender]]="O","Other", TRUE,"Unknown")</f>
        <v>Male</v>
      </c>
    </row>
    <row r="2277" spans="1:15" x14ac:dyDescent="0.3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f t="array" ref="O2277">_xlfn.IFS(orders[[#This Row],[Customer Gender]]="M","Male", orders[[#This Row],[Customer Gender]]="F","Female", orders[[#This Row],[Customer Gender]]="O","Other", TRUE,"Unknown")</f>
        <v>Unknown</v>
      </c>
    </row>
    <row r="2278" spans="1:15" x14ac:dyDescent="0.3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f t="array" ref="O2278">_xlfn.IFS(orders[[#This Row],[Customer Gender]]="M","Male", orders[[#This Row],[Customer Gender]]="F","Female", orders[[#This Row],[Customer Gender]]="O","Other", TRUE,"Unknown")</f>
        <v>Female</v>
      </c>
    </row>
    <row r="2279" spans="1:15" x14ac:dyDescent="0.3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f t="array" ref="O2279">_xlfn.IFS(orders[[#This Row],[Customer Gender]]="M","Male", orders[[#This Row],[Customer Gender]]="F","Female", orders[[#This Row],[Customer Gender]]="O","Other", TRUE,"Unknown")</f>
        <v>Male</v>
      </c>
    </row>
    <row r="2280" spans="1:15" x14ac:dyDescent="0.3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f t="array" ref="O2280">_xlfn.IFS(orders[[#This Row],[Customer Gender]]="M","Male", orders[[#This Row],[Customer Gender]]="F","Female", orders[[#This Row],[Customer Gender]]="O","Other", TRUE,"Unknown")</f>
        <v>Male</v>
      </c>
    </row>
    <row r="2281" spans="1:15" x14ac:dyDescent="0.3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f t="array" ref="O2281">_xlfn.IFS(orders[[#This Row],[Customer Gender]]="M","Male", orders[[#This Row],[Customer Gender]]="F","Female", orders[[#This Row],[Customer Gender]]="O","Other", TRUE,"Unknown")</f>
        <v>Male</v>
      </c>
    </row>
    <row r="2282" spans="1:15" x14ac:dyDescent="0.3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f t="array" ref="O2282">_xlfn.IFS(orders[[#This Row],[Customer Gender]]="M","Male", orders[[#This Row],[Customer Gender]]="F","Female", orders[[#This Row],[Customer Gender]]="O","Other", TRUE,"Unknown")</f>
        <v>Male</v>
      </c>
    </row>
    <row r="2283" spans="1:15" x14ac:dyDescent="0.3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f t="array" ref="O2283">_xlfn.IFS(orders[[#This Row],[Customer Gender]]="M","Male", orders[[#This Row],[Customer Gender]]="F","Female", orders[[#This Row],[Customer Gender]]="O","Other", TRUE,"Unknown")</f>
        <v>Female</v>
      </c>
    </row>
    <row r="2284" spans="1:15" x14ac:dyDescent="0.3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f t="array" ref="O2284">_xlfn.IFS(orders[[#This Row],[Customer Gender]]="M","Male", orders[[#This Row],[Customer Gender]]="F","Female", orders[[#This Row],[Customer Gender]]="O","Other", TRUE,"Unknown")</f>
        <v>Female</v>
      </c>
    </row>
    <row r="2285" spans="1:15" x14ac:dyDescent="0.3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f t="array" ref="O2285">_xlfn.IFS(orders[[#This Row],[Customer Gender]]="M","Male", orders[[#This Row],[Customer Gender]]="F","Female", orders[[#This Row],[Customer Gender]]="O","Other", TRUE,"Unknown")</f>
        <v>Male</v>
      </c>
    </row>
    <row r="2286" spans="1:15" x14ac:dyDescent="0.3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f t="array" ref="O2286">_xlfn.IFS(orders[[#This Row],[Customer Gender]]="M","Male", orders[[#This Row],[Customer Gender]]="F","Female", orders[[#This Row],[Customer Gender]]="O","Other", TRUE,"Unknown")</f>
        <v>Male</v>
      </c>
    </row>
    <row r="2287" spans="1:15" x14ac:dyDescent="0.3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f t="array" ref="O2287">_xlfn.IFS(orders[[#This Row],[Customer Gender]]="M","Male", orders[[#This Row],[Customer Gender]]="F","Female", orders[[#This Row],[Customer Gender]]="O","Other", TRUE,"Unknown")</f>
        <v>Male</v>
      </c>
    </row>
    <row r="2288" spans="1:15" x14ac:dyDescent="0.3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f t="array" ref="O2288">_xlfn.IFS(orders[[#This Row],[Customer Gender]]="M","Male", orders[[#This Row],[Customer Gender]]="F","Female", orders[[#This Row],[Customer Gender]]="O","Other", TRUE,"Unknown")</f>
        <v>Male</v>
      </c>
    </row>
    <row r="2289" spans="1:15" x14ac:dyDescent="0.3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f t="array" ref="O2289">_xlfn.IFS(orders[[#This Row],[Customer Gender]]="M","Male", orders[[#This Row],[Customer Gender]]="F","Female", orders[[#This Row],[Customer Gender]]="O","Other", TRUE,"Unknown")</f>
        <v>Male</v>
      </c>
    </row>
    <row r="2290" spans="1:15" x14ac:dyDescent="0.3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f t="array" ref="O2290">_xlfn.IFS(orders[[#This Row],[Customer Gender]]="M","Male", orders[[#This Row],[Customer Gender]]="F","Female", orders[[#This Row],[Customer Gender]]="O","Other", TRUE,"Unknown")</f>
        <v>Other</v>
      </c>
    </row>
    <row r="2291" spans="1:15" x14ac:dyDescent="0.3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f t="array" ref="O2291">_xlfn.IFS(orders[[#This Row],[Customer Gender]]="M","Male", orders[[#This Row],[Customer Gender]]="F","Female", orders[[#This Row],[Customer Gender]]="O","Other", TRUE,"Unknown")</f>
        <v>Male</v>
      </c>
    </row>
    <row r="2292" spans="1:15" x14ac:dyDescent="0.3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f t="array" ref="O2292">_xlfn.IFS(orders[[#This Row],[Customer Gender]]="M","Male", orders[[#This Row],[Customer Gender]]="F","Female", orders[[#This Row],[Customer Gender]]="O","Other", TRUE,"Unknown")</f>
        <v>Male</v>
      </c>
    </row>
    <row r="2293" spans="1:15" x14ac:dyDescent="0.3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f t="array" ref="O2293">_xlfn.IFS(orders[[#This Row],[Customer Gender]]="M","Male", orders[[#This Row],[Customer Gender]]="F","Female", orders[[#This Row],[Customer Gender]]="O","Other", TRUE,"Unknown")</f>
        <v>Female</v>
      </c>
    </row>
    <row r="2294" spans="1:15" x14ac:dyDescent="0.3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f t="array" ref="O2294">_xlfn.IFS(orders[[#This Row],[Customer Gender]]="M","Male", orders[[#This Row],[Customer Gender]]="F","Female", orders[[#This Row],[Customer Gender]]="O","Other", TRUE,"Unknown")</f>
        <v>Male</v>
      </c>
    </row>
    <row r="2295" spans="1:15" x14ac:dyDescent="0.3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f t="array" ref="O2295">_xlfn.IFS(orders[[#This Row],[Customer Gender]]="M","Male", orders[[#This Row],[Customer Gender]]="F","Female", orders[[#This Row],[Customer Gender]]="O","Other", TRUE,"Unknown")</f>
        <v>Other</v>
      </c>
    </row>
    <row r="2296" spans="1:15" x14ac:dyDescent="0.3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f t="array" ref="O2296">_xlfn.IFS(orders[[#This Row],[Customer Gender]]="M","Male", orders[[#This Row],[Customer Gender]]="F","Female", orders[[#This Row],[Customer Gender]]="O","Other", TRUE,"Unknown")</f>
        <v>Male</v>
      </c>
    </row>
    <row r="2297" spans="1:15" x14ac:dyDescent="0.3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f t="array" ref="O2297">_xlfn.IFS(orders[[#This Row],[Customer Gender]]="M","Male", orders[[#This Row],[Customer Gender]]="F","Female", orders[[#This Row],[Customer Gender]]="O","Other", TRUE,"Unknown")</f>
        <v>Female</v>
      </c>
    </row>
    <row r="2298" spans="1:15" x14ac:dyDescent="0.3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f t="array" ref="O2298">_xlfn.IFS(orders[[#This Row],[Customer Gender]]="M","Male", orders[[#This Row],[Customer Gender]]="F","Female", orders[[#This Row],[Customer Gender]]="O","Other", TRUE,"Unknown")</f>
        <v>Male</v>
      </c>
    </row>
    <row r="2299" spans="1:15" x14ac:dyDescent="0.3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f t="array" ref="O2299">_xlfn.IFS(orders[[#This Row],[Customer Gender]]="M","Male", orders[[#This Row],[Customer Gender]]="F","Female", orders[[#This Row],[Customer Gender]]="O","Other", TRUE,"Unknown")</f>
        <v>Male</v>
      </c>
    </row>
    <row r="2300" spans="1:15" x14ac:dyDescent="0.3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f t="array" ref="O2300">_xlfn.IFS(orders[[#This Row],[Customer Gender]]="M","Male", orders[[#This Row],[Customer Gender]]="F","Female", orders[[#This Row],[Customer Gender]]="O","Other", TRUE,"Unknown")</f>
        <v>Male</v>
      </c>
    </row>
    <row r="2301" spans="1:15" x14ac:dyDescent="0.3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f t="array" ref="O2301">_xlfn.IFS(orders[[#This Row],[Customer Gender]]="M","Male", orders[[#This Row],[Customer Gender]]="F","Female", orders[[#This Row],[Customer Gender]]="O","Other", TRUE,"Unknown")</f>
        <v>Female</v>
      </c>
    </row>
    <row r="2302" spans="1:15" x14ac:dyDescent="0.3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f t="array" ref="O2302">_xlfn.IFS(orders[[#This Row],[Customer Gender]]="M","Male", orders[[#This Row],[Customer Gender]]="F","Female", orders[[#This Row],[Customer Gender]]="O","Other", TRUE,"Unknown")</f>
        <v>Male</v>
      </c>
    </row>
    <row r="2303" spans="1:15" x14ac:dyDescent="0.3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f t="array" ref="O2303">_xlfn.IFS(orders[[#This Row],[Customer Gender]]="M","Male", orders[[#This Row],[Customer Gender]]="F","Female", orders[[#This Row],[Customer Gender]]="O","Other", TRUE,"Unknown")</f>
        <v>Male</v>
      </c>
    </row>
    <row r="2304" spans="1:15" x14ac:dyDescent="0.3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f t="array" ref="O2304">_xlfn.IFS(orders[[#This Row],[Customer Gender]]="M","Male", orders[[#This Row],[Customer Gender]]="F","Female", orders[[#This Row],[Customer Gender]]="O","Other", TRUE,"Unknown")</f>
        <v>Male</v>
      </c>
    </row>
    <row r="2305" spans="1:15" x14ac:dyDescent="0.3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f t="array" ref="O2305">_xlfn.IFS(orders[[#This Row],[Customer Gender]]="M","Male", orders[[#This Row],[Customer Gender]]="F","Female", orders[[#This Row],[Customer Gender]]="O","Other", TRUE,"Unknown")</f>
        <v>Female</v>
      </c>
    </row>
    <row r="2306" spans="1:15" x14ac:dyDescent="0.3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f t="array" ref="O2306">_xlfn.IFS(orders[[#This Row],[Customer Gender]]="M","Male", orders[[#This Row],[Customer Gender]]="F","Female", orders[[#This Row],[Customer Gender]]="O","Other", TRUE,"Unknown")</f>
        <v>Female</v>
      </c>
    </row>
    <row r="2307" spans="1:15" x14ac:dyDescent="0.3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f t="array" ref="O2307">_xlfn.IFS(orders[[#This Row],[Customer Gender]]="M","Male", orders[[#This Row],[Customer Gender]]="F","Female", orders[[#This Row],[Customer Gender]]="O","Other", TRUE,"Unknown")</f>
        <v>Male</v>
      </c>
    </row>
    <row r="2308" spans="1:15" x14ac:dyDescent="0.3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f t="array" ref="O2308">_xlfn.IFS(orders[[#This Row],[Customer Gender]]="M","Male", orders[[#This Row],[Customer Gender]]="F","Female", orders[[#This Row],[Customer Gender]]="O","Other", TRUE,"Unknown")</f>
        <v>Female</v>
      </c>
    </row>
    <row r="2309" spans="1:15" x14ac:dyDescent="0.3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f t="array" ref="O2309">_xlfn.IFS(orders[[#This Row],[Customer Gender]]="M","Male", orders[[#This Row],[Customer Gender]]="F","Female", orders[[#This Row],[Customer Gender]]="O","Other", TRUE,"Unknown")</f>
        <v>Unknown</v>
      </c>
    </row>
    <row r="2310" spans="1:15" x14ac:dyDescent="0.3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f t="array" ref="O2310">_xlfn.IFS(orders[[#This Row],[Customer Gender]]="M","Male", orders[[#This Row],[Customer Gender]]="F","Female", orders[[#This Row],[Customer Gender]]="O","Other", TRUE,"Unknown")</f>
        <v>Male</v>
      </c>
    </row>
    <row r="2311" spans="1:15" x14ac:dyDescent="0.3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f t="array" ref="O2311">_xlfn.IFS(orders[[#This Row],[Customer Gender]]="M","Male", orders[[#This Row],[Customer Gender]]="F","Female", orders[[#This Row],[Customer Gender]]="O","Other", TRUE,"Unknown")</f>
        <v>Male</v>
      </c>
    </row>
    <row r="2312" spans="1:15" x14ac:dyDescent="0.3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f t="array" ref="O2312">_xlfn.IFS(orders[[#This Row],[Customer Gender]]="M","Male", orders[[#This Row],[Customer Gender]]="F","Female", orders[[#This Row],[Customer Gender]]="O","Other", TRUE,"Unknown")</f>
        <v>Male</v>
      </c>
    </row>
    <row r="2313" spans="1:15" x14ac:dyDescent="0.3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f t="array" ref="O2313">_xlfn.IFS(orders[[#This Row],[Customer Gender]]="M","Male", orders[[#This Row],[Customer Gender]]="F","Female", orders[[#This Row],[Customer Gender]]="O","Other", TRUE,"Unknown")</f>
        <v>Female</v>
      </c>
    </row>
    <row r="2314" spans="1:15" x14ac:dyDescent="0.3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f t="array" ref="O2314">_xlfn.IFS(orders[[#This Row],[Customer Gender]]="M","Male", orders[[#This Row],[Customer Gender]]="F","Female", orders[[#This Row],[Customer Gender]]="O","Other", TRUE,"Unknown")</f>
        <v>Female</v>
      </c>
    </row>
    <row r="2315" spans="1:15" x14ac:dyDescent="0.3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f t="array" ref="O2315">_xlfn.IFS(orders[[#This Row],[Customer Gender]]="M","Male", orders[[#This Row],[Customer Gender]]="F","Female", orders[[#This Row],[Customer Gender]]="O","Other", TRUE,"Unknown")</f>
        <v>Female</v>
      </c>
    </row>
    <row r="2316" spans="1:15" x14ac:dyDescent="0.3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f t="array" ref="O2316">_xlfn.IFS(orders[[#This Row],[Customer Gender]]="M","Male", orders[[#This Row],[Customer Gender]]="F","Female", orders[[#This Row],[Customer Gender]]="O","Other", TRUE,"Unknown")</f>
        <v>Female</v>
      </c>
    </row>
    <row r="2317" spans="1:15" x14ac:dyDescent="0.3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f t="array" ref="O2317">_xlfn.IFS(orders[[#This Row],[Customer Gender]]="M","Male", orders[[#This Row],[Customer Gender]]="F","Female", orders[[#This Row],[Customer Gender]]="O","Other", TRUE,"Unknown")</f>
        <v>Female</v>
      </c>
    </row>
    <row r="2318" spans="1:15" x14ac:dyDescent="0.3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f t="array" ref="O2318">_xlfn.IFS(orders[[#This Row],[Customer Gender]]="M","Male", orders[[#This Row],[Customer Gender]]="F","Female", orders[[#This Row],[Customer Gender]]="O","Other", TRUE,"Unknown")</f>
        <v>Male</v>
      </c>
    </row>
    <row r="2319" spans="1:15" x14ac:dyDescent="0.3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f t="array" ref="O2319">_xlfn.IFS(orders[[#This Row],[Customer Gender]]="M","Male", orders[[#This Row],[Customer Gender]]="F","Female", orders[[#This Row],[Customer Gender]]="O","Other", TRUE,"Unknown")</f>
        <v>Unknown</v>
      </c>
    </row>
    <row r="2320" spans="1:15" x14ac:dyDescent="0.3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f t="array" ref="O2320">_xlfn.IFS(orders[[#This Row],[Customer Gender]]="M","Male", orders[[#This Row],[Customer Gender]]="F","Female", orders[[#This Row],[Customer Gender]]="O","Other", TRUE,"Unknown")</f>
        <v>Unknown</v>
      </c>
    </row>
    <row r="2321" spans="1:15" x14ac:dyDescent="0.3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f t="array" ref="O2321">_xlfn.IFS(orders[[#This Row],[Customer Gender]]="M","Male", orders[[#This Row],[Customer Gender]]="F","Female", orders[[#This Row],[Customer Gender]]="O","Other", TRUE,"Unknown")</f>
        <v>Male</v>
      </c>
    </row>
    <row r="2322" spans="1:15" x14ac:dyDescent="0.3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f t="array" ref="O2322">_xlfn.IFS(orders[[#This Row],[Customer Gender]]="M","Male", orders[[#This Row],[Customer Gender]]="F","Female", orders[[#This Row],[Customer Gender]]="O","Other", TRUE,"Unknown")</f>
        <v>Female</v>
      </c>
    </row>
    <row r="2323" spans="1:15" x14ac:dyDescent="0.3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f t="array" ref="O2323">_xlfn.IFS(orders[[#This Row],[Customer Gender]]="M","Male", orders[[#This Row],[Customer Gender]]="F","Female", orders[[#This Row],[Customer Gender]]="O","Other", TRUE,"Unknown")</f>
        <v>Female</v>
      </c>
    </row>
    <row r="2324" spans="1:15" x14ac:dyDescent="0.3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f t="array" ref="O2324">_xlfn.IFS(orders[[#This Row],[Customer Gender]]="M","Male", orders[[#This Row],[Customer Gender]]="F","Female", orders[[#This Row],[Customer Gender]]="O","Other", TRUE,"Unknown")</f>
        <v>Female</v>
      </c>
    </row>
    <row r="2325" spans="1:15" x14ac:dyDescent="0.3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f t="array" ref="O2325">_xlfn.IFS(orders[[#This Row],[Customer Gender]]="M","Male", orders[[#This Row],[Customer Gender]]="F","Female", orders[[#This Row],[Customer Gender]]="O","Other", TRUE,"Unknown")</f>
        <v>Male</v>
      </c>
    </row>
    <row r="2326" spans="1:15" x14ac:dyDescent="0.3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f t="array" ref="O2326">_xlfn.IFS(orders[[#This Row],[Customer Gender]]="M","Male", orders[[#This Row],[Customer Gender]]="F","Female", orders[[#This Row],[Customer Gender]]="O","Other", TRUE,"Unknown")</f>
        <v>Female</v>
      </c>
    </row>
    <row r="2327" spans="1:15" x14ac:dyDescent="0.3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f t="array" ref="O2327">_xlfn.IFS(orders[[#This Row],[Customer Gender]]="M","Male", orders[[#This Row],[Customer Gender]]="F","Female", orders[[#This Row],[Customer Gender]]="O","Other", TRUE,"Unknown")</f>
        <v>Female</v>
      </c>
    </row>
    <row r="2328" spans="1:15" x14ac:dyDescent="0.3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f t="array" ref="O2328">_xlfn.IFS(orders[[#This Row],[Customer Gender]]="M","Male", orders[[#This Row],[Customer Gender]]="F","Female", orders[[#This Row],[Customer Gender]]="O","Other", TRUE,"Unknown")</f>
        <v>Female</v>
      </c>
    </row>
    <row r="2329" spans="1:15" x14ac:dyDescent="0.3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f t="array" ref="O2329">_xlfn.IFS(orders[[#This Row],[Customer Gender]]="M","Male", orders[[#This Row],[Customer Gender]]="F","Female", orders[[#This Row],[Customer Gender]]="O","Other", TRUE,"Unknown")</f>
        <v>Female</v>
      </c>
    </row>
    <row r="2330" spans="1:15" x14ac:dyDescent="0.3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f t="array" ref="O2330">_xlfn.IFS(orders[[#This Row],[Customer Gender]]="M","Male", orders[[#This Row],[Customer Gender]]="F","Female", orders[[#This Row],[Customer Gender]]="O","Other", TRUE,"Unknown")</f>
        <v>Female</v>
      </c>
    </row>
    <row r="2331" spans="1:15" x14ac:dyDescent="0.3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f t="array" ref="O2331">_xlfn.IFS(orders[[#This Row],[Customer Gender]]="M","Male", orders[[#This Row],[Customer Gender]]="F","Female", orders[[#This Row],[Customer Gender]]="O","Other", TRUE,"Unknown")</f>
        <v>Male</v>
      </c>
    </row>
    <row r="2332" spans="1:15" x14ac:dyDescent="0.3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f t="array" ref="O2332">_xlfn.IFS(orders[[#This Row],[Customer Gender]]="M","Male", orders[[#This Row],[Customer Gender]]="F","Female", orders[[#This Row],[Customer Gender]]="O","Other", TRUE,"Unknown")</f>
        <v>Male</v>
      </c>
    </row>
    <row r="2333" spans="1:15" x14ac:dyDescent="0.3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f t="array" ref="O2333">_xlfn.IFS(orders[[#This Row],[Customer Gender]]="M","Male", orders[[#This Row],[Customer Gender]]="F","Female", orders[[#This Row],[Customer Gender]]="O","Other", TRUE,"Unknown")</f>
        <v>Female</v>
      </c>
    </row>
    <row r="2334" spans="1:15" x14ac:dyDescent="0.3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f t="array" ref="O2334">_xlfn.IFS(orders[[#This Row],[Customer Gender]]="M","Male", orders[[#This Row],[Customer Gender]]="F","Female", orders[[#This Row],[Customer Gender]]="O","Other", TRUE,"Unknown")</f>
        <v>Male</v>
      </c>
    </row>
    <row r="2335" spans="1:15" x14ac:dyDescent="0.3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f t="array" ref="O2335">_xlfn.IFS(orders[[#This Row],[Customer Gender]]="M","Male", orders[[#This Row],[Customer Gender]]="F","Female", orders[[#This Row],[Customer Gender]]="O","Other", TRUE,"Unknown")</f>
        <v>Female</v>
      </c>
    </row>
    <row r="2336" spans="1:15" x14ac:dyDescent="0.3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f t="array" ref="O2336">_xlfn.IFS(orders[[#This Row],[Customer Gender]]="M","Male", orders[[#This Row],[Customer Gender]]="F","Female", orders[[#This Row],[Customer Gender]]="O","Other", TRUE,"Unknown")</f>
        <v>Male</v>
      </c>
    </row>
    <row r="2337" spans="1:15" x14ac:dyDescent="0.3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f t="array" ref="O2337">_xlfn.IFS(orders[[#This Row],[Customer Gender]]="M","Male", orders[[#This Row],[Customer Gender]]="F","Female", orders[[#This Row],[Customer Gender]]="O","Other", TRUE,"Unknown")</f>
        <v>Male</v>
      </c>
    </row>
    <row r="2338" spans="1:15" x14ac:dyDescent="0.3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f t="array" ref="O2338">_xlfn.IFS(orders[[#This Row],[Customer Gender]]="M","Male", orders[[#This Row],[Customer Gender]]="F","Female", orders[[#This Row],[Customer Gender]]="O","Other", TRUE,"Unknown")</f>
        <v>Female</v>
      </c>
    </row>
    <row r="2339" spans="1:15" x14ac:dyDescent="0.3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f t="array" ref="O2339">_xlfn.IFS(orders[[#This Row],[Customer Gender]]="M","Male", orders[[#This Row],[Customer Gender]]="F","Female", orders[[#This Row],[Customer Gender]]="O","Other", TRUE,"Unknown")</f>
        <v>Male</v>
      </c>
    </row>
    <row r="2340" spans="1:15" x14ac:dyDescent="0.3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f t="array" ref="O2340">_xlfn.IFS(orders[[#This Row],[Customer Gender]]="M","Male", orders[[#This Row],[Customer Gender]]="F","Female", orders[[#This Row],[Customer Gender]]="O","Other", TRUE,"Unknown")</f>
        <v>Male</v>
      </c>
    </row>
    <row r="2341" spans="1:15" x14ac:dyDescent="0.3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f t="array" ref="O2341">_xlfn.IFS(orders[[#This Row],[Customer Gender]]="M","Male", orders[[#This Row],[Customer Gender]]="F","Female", orders[[#This Row],[Customer Gender]]="O","Other", TRUE,"Unknown")</f>
        <v>Male</v>
      </c>
    </row>
    <row r="2342" spans="1:15" x14ac:dyDescent="0.3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f t="array" ref="O2342">_xlfn.IFS(orders[[#This Row],[Customer Gender]]="M","Male", orders[[#This Row],[Customer Gender]]="F","Female", orders[[#This Row],[Customer Gender]]="O","Other", TRUE,"Unknown")</f>
        <v>Male</v>
      </c>
    </row>
    <row r="2343" spans="1:15" x14ac:dyDescent="0.3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f t="array" ref="O2343">_xlfn.IFS(orders[[#This Row],[Customer Gender]]="M","Male", orders[[#This Row],[Customer Gender]]="F","Female", orders[[#This Row],[Customer Gender]]="O","Other", TRUE,"Unknown")</f>
        <v>Female</v>
      </c>
    </row>
    <row r="2344" spans="1:15" x14ac:dyDescent="0.3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f t="array" ref="O2344">_xlfn.IFS(orders[[#This Row],[Customer Gender]]="M","Male", orders[[#This Row],[Customer Gender]]="F","Female", orders[[#This Row],[Customer Gender]]="O","Other", TRUE,"Unknown")</f>
        <v>Male</v>
      </c>
    </row>
    <row r="2345" spans="1:15" x14ac:dyDescent="0.3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f t="array" ref="O2345">_xlfn.IFS(orders[[#This Row],[Customer Gender]]="M","Male", orders[[#This Row],[Customer Gender]]="F","Female", orders[[#This Row],[Customer Gender]]="O","Other", TRUE,"Unknown")</f>
        <v>Other</v>
      </c>
    </row>
    <row r="2346" spans="1:15" x14ac:dyDescent="0.3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f t="array" ref="O2346">_xlfn.IFS(orders[[#This Row],[Customer Gender]]="M","Male", orders[[#This Row],[Customer Gender]]="F","Female", orders[[#This Row],[Customer Gender]]="O","Other", TRUE,"Unknown")</f>
        <v>Female</v>
      </c>
    </row>
    <row r="2347" spans="1:15" x14ac:dyDescent="0.3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f t="array" ref="O2347">_xlfn.IFS(orders[[#This Row],[Customer Gender]]="M","Male", orders[[#This Row],[Customer Gender]]="F","Female", orders[[#This Row],[Customer Gender]]="O","Other", TRUE,"Unknown")</f>
        <v>Female</v>
      </c>
    </row>
    <row r="2348" spans="1:15" x14ac:dyDescent="0.3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f t="array" ref="O2348">_xlfn.IFS(orders[[#This Row],[Customer Gender]]="M","Male", orders[[#This Row],[Customer Gender]]="F","Female", orders[[#This Row],[Customer Gender]]="O","Other", TRUE,"Unknown")</f>
        <v>Female</v>
      </c>
    </row>
    <row r="2349" spans="1:15" x14ac:dyDescent="0.3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f t="array" ref="O2349">_xlfn.IFS(orders[[#This Row],[Customer Gender]]="M","Male", orders[[#This Row],[Customer Gender]]="F","Female", orders[[#This Row],[Customer Gender]]="O","Other", TRUE,"Unknown")</f>
        <v>Female</v>
      </c>
    </row>
    <row r="2350" spans="1:15" x14ac:dyDescent="0.3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f t="array" ref="O2350">_xlfn.IFS(orders[[#This Row],[Customer Gender]]="M","Male", orders[[#This Row],[Customer Gender]]="F","Female", orders[[#This Row],[Customer Gender]]="O","Other", TRUE,"Unknown")</f>
        <v>Other</v>
      </c>
    </row>
    <row r="2351" spans="1:15" x14ac:dyDescent="0.3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f t="array" ref="O2351">_xlfn.IFS(orders[[#This Row],[Customer Gender]]="M","Male", orders[[#This Row],[Customer Gender]]="F","Female", orders[[#This Row],[Customer Gender]]="O","Other", TRUE,"Unknown")</f>
        <v>Female</v>
      </c>
    </row>
    <row r="2352" spans="1:15" x14ac:dyDescent="0.3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f t="array" ref="O2352">_xlfn.IFS(orders[[#This Row],[Customer Gender]]="M","Male", orders[[#This Row],[Customer Gender]]="F","Female", orders[[#This Row],[Customer Gender]]="O","Other", TRUE,"Unknown")</f>
        <v>Female</v>
      </c>
    </row>
    <row r="2353" spans="1:15" x14ac:dyDescent="0.3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f t="array" ref="O2353">_xlfn.IFS(orders[[#This Row],[Customer Gender]]="M","Male", orders[[#This Row],[Customer Gender]]="F","Female", orders[[#This Row],[Customer Gender]]="O","Other", TRUE,"Unknown")</f>
        <v>Female</v>
      </c>
    </row>
    <row r="2354" spans="1:15" x14ac:dyDescent="0.3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f t="array" ref="O2354">_xlfn.IFS(orders[[#This Row],[Customer Gender]]="M","Male", orders[[#This Row],[Customer Gender]]="F","Female", orders[[#This Row],[Customer Gender]]="O","Other", TRUE,"Unknown")</f>
        <v>Female</v>
      </c>
    </row>
    <row r="2355" spans="1:15" x14ac:dyDescent="0.3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f t="array" ref="O2355">_xlfn.IFS(orders[[#This Row],[Customer Gender]]="M","Male", orders[[#This Row],[Customer Gender]]="F","Female", orders[[#This Row],[Customer Gender]]="O","Other", TRUE,"Unknown")</f>
        <v>Unknown</v>
      </c>
    </row>
    <row r="2356" spans="1:15" x14ac:dyDescent="0.3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f t="array" ref="O2356">_xlfn.IFS(orders[[#This Row],[Customer Gender]]="M","Male", orders[[#This Row],[Customer Gender]]="F","Female", orders[[#This Row],[Customer Gender]]="O","Other", TRUE,"Unknown")</f>
        <v>Female</v>
      </c>
    </row>
    <row r="2357" spans="1:15" x14ac:dyDescent="0.3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f t="array" ref="O2357">_xlfn.IFS(orders[[#This Row],[Customer Gender]]="M","Male", orders[[#This Row],[Customer Gender]]="F","Female", orders[[#This Row],[Customer Gender]]="O","Other", TRUE,"Unknown")</f>
        <v>Female</v>
      </c>
    </row>
    <row r="2358" spans="1:15" x14ac:dyDescent="0.3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f t="array" ref="O2358">_xlfn.IFS(orders[[#This Row],[Customer Gender]]="M","Male", orders[[#This Row],[Customer Gender]]="F","Female", orders[[#This Row],[Customer Gender]]="O","Other", TRUE,"Unknown")</f>
        <v>Female</v>
      </c>
    </row>
    <row r="2359" spans="1:15" x14ac:dyDescent="0.3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f t="array" ref="O2359">_xlfn.IFS(orders[[#This Row],[Customer Gender]]="M","Male", orders[[#This Row],[Customer Gender]]="F","Female", orders[[#This Row],[Customer Gender]]="O","Other", TRUE,"Unknown")</f>
        <v>Male</v>
      </c>
    </row>
    <row r="2360" spans="1:15" x14ac:dyDescent="0.3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f t="array" ref="O2360">_xlfn.IFS(orders[[#This Row],[Customer Gender]]="M","Male", orders[[#This Row],[Customer Gender]]="F","Female", orders[[#This Row],[Customer Gender]]="O","Other", TRUE,"Unknown")</f>
        <v>Male</v>
      </c>
    </row>
    <row r="2361" spans="1:15" x14ac:dyDescent="0.3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f t="array" ref="O2361">_xlfn.IFS(orders[[#This Row],[Customer Gender]]="M","Male", orders[[#This Row],[Customer Gender]]="F","Female", orders[[#This Row],[Customer Gender]]="O","Other", TRUE,"Unknown")</f>
        <v>Female</v>
      </c>
    </row>
    <row r="2362" spans="1:15" x14ac:dyDescent="0.3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f t="array" ref="O2362">_xlfn.IFS(orders[[#This Row],[Customer Gender]]="M","Male", orders[[#This Row],[Customer Gender]]="F","Female", orders[[#This Row],[Customer Gender]]="O","Other", TRUE,"Unknown")</f>
        <v>Male</v>
      </c>
    </row>
    <row r="2363" spans="1:15" x14ac:dyDescent="0.3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f t="array" ref="O2363">_xlfn.IFS(orders[[#This Row],[Customer Gender]]="M","Male", orders[[#This Row],[Customer Gender]]="F","Female", orders[[#This Row],[Customer Gender]]="O","Other", TRUE,"Unknown")</f>
        <v>Female</v>
      </c>
    </row>
    <row r="2364" spans="1:15" x14ac:dyDescent="0.3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f t="array" ref="O2364">_xlfn.IFS(orders[[#This Row],[Customer Gender]]="M","Male", orders[[#This Row],[Customer Gender]]="F","Female", orders[[#This Row],[Customer Gender]]="O","Other", TRUE,"Unknown")</f>
        <v>Female</v>
      </c>
    </row>
    <row r="2365" spans="1:15" x14ac:dyDescent="0.3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f t="array" ref="O2365">_xlfn.IFS(orders[[#This Row],[Customer Gender]]="M","Male", orders[[#This Row],[Customer Gender]]="F","Female", orders[[#This Row],[Customer Gender]]="O","Other", TRUE,"Unknown")</f>
        <v>Male</v>
      </c>
    </row>
    <row r="2366" spans="1:15" x14ac:dyDescent="0.3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f t="array" ref="O2366">_xlfn.IFS(orders[[#This Row],[Customer Gender]]="M","Male", orders[[#This Row],[Customer Gender]]="F","Female", orders[[#This Row],[Customer Gender]]="O","Other", TRUE,"Unknown")</f>
        <v>Male</v>
      </c>
    </row>
    <row r="2367" spans="1:15" x14ac:dyDescent="0.3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f t="array" ref="O2367">_xlfn.IFS(orders[[#This Row],[Customer Gender]]="M","Male", orders[[#This Row],[Customer Gender]]="F","Female", orders[[#This Row],[Customer Gender]]="O","Other", TRUE,"Unknown")</f>
        <v>Female</v>
      </c>
    </row>
    <row r="2368" spans="1:15" x14ac:dyDescent="0.3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f t="array" ref="O2368">_xlfn.IFS(orders[[#This Row],[Customer Gender]]="M","Male", orders[[#This Row],[Customer Gender]]="F","Female", orders[[#This Row],[Customer Gender]]="O","Other", TRUE,"Unknown")</f>
        <v>Male</v>
      </c>
    </row>
    <row r="2369" spans="1:15" x14ac:dyDescent="0.3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f t="array" ref="O2369">_xlfn.IFS(orders[[#This Row],[Customer Gender]]="M","Male", orders[[#This Row],[Customer Gender]]="F","Female", orders[[#This Row],[Customer Gender]]="O","Other", TRUE,"Unknown")</f>
        <v>Unknown</v>
      </c>
    </row>
    <row r="2370" spans="1:15" x14ac:dyDescent="0.3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f t="array" ref="O2370">_xlfn.IFS(orders[[#This Row],[Customer Gender]]="M","Male", orders[[#This Row],[Customer Gender]]="F","Female", orders[[#This Row],[Customer Gender]]="O","Other", TRUE,"Unknown")</f>
        <v>Male</v>
      </c>
    </row>
    <row r="2371" spans="1:15" x14ac:dyDescent="0.3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f t="array" ref="O2371">_xlfn.IFS(orders[[#This Row],[Customer Gender]]="M","Male", orders[[#This Row],[Customer Gender]]="F","Female", orders[[#This Row],[Customer Gender]]="O","Other", TRUE,"Unknown")</f>
        <v>Male</v>
      </c>
    </row>
    <row r="2372" spans="1:15" x14ac:dyDescent="0.3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f t="array" ref="O2372">_xlfn.IFS(orders[[#This Row],[Customer Gender]]="M","Male", orders[[#This Row],[Customer Gender]]="F","Female", orders[[#This Row],[Customer Gender]]="O","Other", TRUE,"Unknown")</f>
        <v>Female</v>
      </c>
    </row>
    <row r="2373" spans="1:15" x14ac:dyDescent="0.3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f t="array" ref="O2373">_xlfn.IFS(orders[[#This Row],[Customer Gender]]="M","Male", orders[[#This Row],[Customer Gender]]="F","Female", orders[[#This Row],[Customer Gender]]="O","Other", TRUE,"Unknown")</f>
        <v>Male</v>
      </c>
    </row>
    <row r="2374" spans="1:15" x14ac:dyDescent="0.3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f t="array" ref="O2374">_xlfn.IFS(orders[[#This Row],[Customer Gender]]="M","Male", orders[[#This Row],[Customer Gender]]="F","Female", orders[[#This Row],[Customer Gender]]="O","Other", TRUE,"Unknown")</f>
        <v>Female</v>
      </c>
    </row>
    <row r="2375" spans="1:15" x14ac:dyDescent="0.3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f t="array" ref="O2375">_xlfn.IFS(orders[[#This Row],[Customer Gender]]="M","Male", orders[[#This Row],[Customer Gender]]="F","Female", orders[[#This Row],[Customer Gender]]="O","Other", TRUE,"Unknown")</f>
        <v>Female</v>
      </c>
    </row>
    <row r="2376" spans="1:15" x14ac:dyDescent="0.3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f t="array" ref="O2376">_xlfn.IFS(orders[[#This Row],[Customer Gender]]="M","Male", orders[[#This Row],[Customer Gender]]="F","Female", orders[[#This Row],[Customer Gender]]="O","Other", TRUE,"Unknown")</f>
        <v>Male</v>
      </c>
    </row>
    <row r="2377" spans="1:15" x14ac:dyDescent="0.3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f t="array" ref="O2377">_xlfn.IFS(orders[[#This Row],[Customer Gender]]="M","Male", orders[[#This Row],[Customer Gender]]="F","Female", orders[[#This Row],[Customer Gender]]="O","Other", TRUE,"Unknown")</f>
        <v>Unknown</v>
      </c>
    </row>
    <row r="2378" spans="1:15" x14ac:dyDescent="0.3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f t="array" ref="O2378">_xlfn.IFS(orders[[#This Row],[Customer Gender]]="M","Male", orders[[#This Row],[Customer Gender]]="F","Female", orders[[#This Row],[Customer Gender]]="O","Other", TRUE,"Unknown")</f>
        <v>Female</v>
      </c>
    </row>
    <row r="2379" spans="1:15" x14ac:dyDescent="0.3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f t="array" ref="O2379">_xlfn.IFS(orders[[#This Row],[Customer Gender]]="M","Male", orders[[#This Row],[Customer Gender]]="F","Female", orders[[#This Row],[Customer Gender]]="O","Other", TRUE,"Unknown")</f>
        <v>Female</v>
      </c>
    </row>
    <row r="2380" spans="1:15" x14ac:dyDescent="0.3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f t="array" ref="O2380">_xlfn.IFS(orders[[#This Row],[Customer Gender]]="M","Male", orders[[#This Row],[Customer Gender]]="F","Female", orders[[#This Row],[Customer Gender]]="O","Other", TRUE,"Unknown")</f>
        <v>Female</v>
      </c>
    </row>
    <row r="2381" spans="1:15" x14ac:dyDescent="0.3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f t="array" ref="O2381">_xlfn.IFS(orders[[#This Row],[Customer Gender]]="M","Male", orders[[#This Row],[Customer Gender]]="F","Female", orders[[#This Row],[Customer Gender]]="O","Other", TRUE,"Unknown")</f>
        <v>Female</v>
      </c>
    </row>
    <row r="2382" spans="1:15" x14ac:dyDescent="0.3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f t="array" ref="O2382">_xlfn.IFS(orders[[#This Row],[Customer Gender]]="M","Male", orders[[#This Row],[Customer Gender]]="F","Female", orders[[#This Row],[Customer Gender]]="O","Other", TRUE,"Unknown")</f>
        <v>Female</v>
      </c>
    </row>
    <row r="2383" spans="1:15" x14ac:dyDescent="0.3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f t="array" ref="O2383">_xlfn.IFS(orders[[#This Row],[Customer Gender]]="M","Male", orders[[#This Row],[Customer Gender]]="F","Female", orders[[#This Row],[Customer Gender]]="O","Other", TRUE,"Unknown")</f>
        <v>Male</v>
      </c>
    </row>
    <row r="2384" spans="1:15" x14ac:dyDescent="0.3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f t="array" ref="O2384">_xlfn.IFS(orders[[#This Row],[Customer Gender]]="M","Male", orders[[#This Row],[Customer Gender]]="F","Female", orders[[#This Row],[Customer Gender]]="O","Other", TRUE,"Unknown")</f>
        <v>Unknown</v>
      </c>
    </row>
    <row r="2385" spans="1:15" x14ac:dyDescent="0.3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f t="array" ref="O2385">_xlfn.IFS(orders[[#This Row],[Customer Gender]]="M","Male", orders[[#This Row],[Customer Gender]]="F","Female", orders[[#This Row],[Customer Gender]]="O","Other", TRUE,"Unknown")</f>
        <v>Male</v>
      </c>
    </row>
    <row r="2386" spans="1:15" x14ac:dyDescent="0.3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f t="array" ref="O2386">_xlfn.IFS(orders[[#This Row],[Customer Gender]]="M","Male", orders[[#This Row],[Customer Gender]]="F","Female", orders[[#This Row],[Customer Gender]]="O","Other", TRUE,"Unknown")</f>
        <v>Male</v>
      </c>
    </row>
    <row r="2387" spans="1:15" x14ac:dyDescent="0.3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f t="array" ref="O2387">_xlfn.IFS(orders[[#This Row],[Customer Gender]]="M","Male", orders[[#This Row],[Customer Gender]]="F","Female", orders[[#This Row],[Customer Gender]]="O","Other", TRUE,"Unknown")</f>
        <v>Male</v>
      </c>
    </row>
    <row r="2388" spans="1:15" x14ac:dyDescent="0.3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f t="array" ref="O2388">_xlfn.IFS(orders[[#This Row],[Customer Gender]]="M","Male", orders[[#This Row],[Customer Gender]]="F","Female", orders[[#This Row],[Customer Gender]]="O","Other", TRUE,"Unknown")</f>
        <v>Female</v>
      </c>
    </row>
    <row r="2389" spans="1:15" x14ac:dyDescent="0.3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f t="array" ref="O2389">_xlfn.IFS(orders[[#This Row],[Customer Gender]]="M","Male", orders[[#This Row],[Customer Gender]]="F","Female", orders[[#This Row],[Customer Gender]]="O","Other", TRUE,"Unknown")</f>
        <v>Male</v>
      </c>
    </row>
    <row r="2390" spans="1:15" x14ac:dyDescent="0.3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f t="array" ref="O2390">_xlfn.IFS(orders[[#This Row],[Customer Gender]]="M","Male", orders[[#This Row],[Customer Gender]]="F","Female", orders[[#This Row],[Customer Gender]]="O","Other", TRUE,"Unknown")</f>
        <v>Male</v>
      </c>
    </row>
    <row r="2391" spans="1:15" x14ac:dyDescent="0.3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f t="array" ref="O2391">_xlfn.IFS(orders[[#This Row],[Customer Gender]]="M","Male", orders[[#This Row],[Customer Gender]]="F","Female", orders[[#This Row],[Customer Gender]]="O","Other", TRUE,"Unknown")</f>
        <v>Female</v>
      </c>
    </row>
    <row r="2392" spans="1:15" x14ac:dyDescent="0.3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f t="array" ref="O2392">_xlfn.IFS(orders[[#This Row],[Customer Gender]]="M","Male", orders[[#This Row],[Customer Gender]]="F","Female", orders[[#This Row],[Customer Gender]]="O","Other", TRUE,"Unknown")</f>
        <v>Female</v>
      </c>
    </row>
    <row r="2393" spans="1:15" x14ac:dyDescent="0.3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f t="array" ref="O2393">_xlfn.IFS(orders[[#This Row],[Customer Gender]]="M","Male", orders[[#This Row],[Customer Gender]]="F","Female", orders[[#This Row],[Customer Gender]]="O","Other", TRUE,"Unknown")</f>
        <v>Unknown</v>
      </c>
    </row>
    <row r="2394" spans="1:15" x14ac:dyDescent="0.3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f t="array" ref="O2394">_xlfn.IFS(orders[[#This Row],[Customer Gender]]="M","Male", orders[[#This Row],[Customer Gender]]="F","Female", orders[[#This Row],[Customer Gender]]="O","Other", TRUE,"Unknown")</f>
        <v>Male</v>
      </c>
    </row>
    <row r="2395" spans="1:15" x14ac:dyDescent="0.3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f t="array" ref="O2395">_xlfn.IFS(orders[[#This Row],[Customer Gender]]="M","Male", orders[[#This Row],[Customer Gender]]="F","Female", orders[[#This Row],[Customer Gender]]="O","Other", TRUE,"Unknown")</f>
        <v>Male</v>
      </c>
    </row>
    <row r="2396" spans="1:15" x14ac:dyDescent="0.3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f t="array" ref="O2396">_xlfn.IFS(orders[[#This Row],[Customer Gender]]="M","Male", orders[[#This Row],[Customer Gender]]="F","Female", orders[[#This Row],[Customer Gender]]="O","Other", TRUE,"Unknown")</f>
        <v>Male</v>
      </c>
    </row>
    <row r="2397" spans="1:15" x14ac:dyDescent="0.3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f t="array" ref="O2397">_xlfn.IFS(orders[[#This Row],[Customer Gender]]="M","Male", orders[[#This Row],[Customer Gender]]="F","Female", orders[[#This Row],[Customer Gender]]="O","Other", TRUE,"Unknown")</f>
        <v>Male</v>
      </c>
    </row>
    <row r="2398" spans="1:15" x14ac:dyDescent="0.3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f t="array" ref="O2398">_xlfn.IFS(orders[[#This Row],[Customer Gender]]="M","Male", orders[[#This Row],[Customer Gender]]="F","Female", orders[[#This Row],[Customer Gender]]="O","Other", TRUE,"Unknown")</f>
        <v>Male</v>
      </c>
    </row>
    <row r="2399" spans="1:15" x14ac:dyDescent="0.3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f t="array" ref="O2399">_xlfn.IFS(orders[[#This Row],[Customer Gender]]="M","Male", orders[[#This Row],[Customer Gender]]="F","Female", orders[[#This Row],[Customer Gender]]="O","Other", TRUE,"Unknown")</f>
        <v>Female</v>
      </c>
    </row>
    <row r="2400" spans="1:15" x14ac:dyDescent="0.3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f t="array" ref="O2400">_xlfn.IFS(orders[[#This Row],[Customer Gender]]="M","Male", orders[[#This Row],[Customer Gender]]="F","Female", orders[[#This Row],[Customer Gender]]="O","Other", TRUE,"Unknown")</f>
        <v>Female</v>
      </c>
    </row>
    <row r="2401" spans="1:15" x14ac:dyDescent="0.3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28" sqref="B28"/>
    </sheetView>
  </sheetViews>
  <sheetFormatPr defaultRowHeight="14.5" x14ac:dyDescent="0.35"/>
  <cols>
    <col min="1" max="1" width="3.6328125" customWidth="1"/>
    <col min="2" max="2" width="52.81640625" customWidth="1"/>
  </cols>
  <sheetData>
    <row r="2" spans="2:2" x14ac:dyDescent="0.35">
      <c r="B2" s="3" t="s">
        <v>2503</v>
      </c>
    </row>
    <row r="3" spans="2:2" x14ac:dyDescent="0.35">
      <c r="B3" s="4" t="s">
        <v>2504</v>
      </c>
    </row>
    <row r="4" spans="2:2" x14ac:dyDescent="0.35">
      <c r="B4" s="4" t="s">
        <v>2505</v>
      </c>
    </row>
    <row r="5" spans="2:2" x14ac:dyDescent="0.35">
      <c r="B5" s="4" t="s">
        <v>2506</v>
      </c>
    </row>
    <row r="6" spans="2:2" x14ac:dyDescent="0.35">
      <c r="B6" s="4" t="s">
        <v>2507</v>
      </c>
    </row>
    <row r="7" spans="2:2" x14ac:dyDescent="0.35">
      <c r="B7" s="4" t="s">
        <v>2508</v>
      </c>
    </row>
    <row r="10" spans="2:2" x14ac:dyDescent="0.35">
      <c r="B10" s="3" t="s">
        <v>2509</v>
      </c>
    </row>
    <row r="11" spans="2:2" x14ac:dyDescent="0.35">
      <c r="B11" t="s">
        <v>2510</v>
      </c>
    </row>
    <row r="12" spans="2:2" x14ac:dyDescent="0.35">
      <c r="B12" t="s">
        <v>2511</v>
      </c>
    </row>
    <row r="13" spans="2:2" x14ac:dyDescent="0.35">
      <c r="B13" t="s">
        <v>2512</v>
      </c>
    </row>
    <row r="14" spans="2:2" x14ac:dyDescent="0.35">
      <c r="B14" t="s">
        <v>2513</v>
      </c>
    </row>
    <row r="15" spans="2:2" x14ac:dyDescent="0.35">
      <c r="B15" t="s">
        <v>2514</v>
      </c>
    </row>
    <row r="16" spans="2:2" x14ac:dyDescent="0.35">
      <c r="B16" t="s">
        <v>2515</v>
      </c>
    </row>
    <row r="17" spans="2:2" x14ac:dyDescent="0.35">
      <c r="B17" t="s">
        <v>2516</v>
      </c>
    </row>
    <row r="18" spans="2:2" x14ac:dyDescent="0.35">
      <c r="B18" t="s">
        <v>2517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7"/>
  <sheetViews>
    <sheetView tabSelected="1" topLeftCell="C1" zoomScale="64" workbookViewId="0">
      <selection activeCell="AB15" sqref="AB15"/>
    </sheetView>
  </sheetViews>
  <sheetFormatPr defaultRowHeight="14.5" x14ac:dyDescent="0.35"/>
  <cols>
    <col min="1" max="1" width="3.36328125" customWidth="1"/>
    <col min="2" max="2" width="22.1796875" customWidth="1"/>
    <col min="3" max="4" width="3.36328125" customWidth="1"/>
    <col min="26" max="26" width="3.36328125" customWidth="1"/>
  </cols>
  <sheetData>
    <row r="7"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Data</vt:lpstr>
      <vt:lpstr>Questions &amp; 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Kr Nivass</cp:lastModifiedBy>
  <dcterms:created xsi:type="dcterms:W3CDTF">2025-06-13T02:42:26Z</dcterms:created>
  <dcterms:modified xsi:type="dcterms:W3CDTF">2026-01-17T16:57:42Z</dcterms:modified>
</cp:coreProperties>
</file>